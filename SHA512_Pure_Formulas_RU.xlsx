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avrilovFD\Downloads\Telegram Desktop\"/>
    </mc:Choice>
  </mc:AlternateContent>
  <bookViews>
    <workbookView xWindow="0" yWindow="0" windowWidth="16380" windowHeight="8190" tabRatio="500"/>
  </bookViews>
  <sheets>
    <sheet name="🔐 SHA-512" sheetId="1" r:id="rId1"/>
    <sheet name="📖 Как работает SHA-512" sheetId="2" r:id="rId2"/>
    <sheet name="📦 Константы SHA-512" sheetId="3" r:id="rId3"/>
    <sheet name="⚙️ Вычисление" sheetId="4" r:id="rId4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L223" i="4" l="1"/>
  <c r="BL221" i="4"/>
  <c r="BL219" i="4"/>
  <c r="BL217" i="4"/>
  <c r="BZ216" i="4"/>
  <c r="BI215" i="4"/>
  <c r="BH215" i="4"/>
  <c r="BI214" i="4"/>
  <c r="BM229" i="4" s="1"/>
  <c r="BH214" i="4"/>
  <c r="CA216" i="4" s="1"/>
  <c r="BI213" i="4"/>
  <c r="BH213" i="4"/>
  <c r="BI212" i="4"/>
  <c r="BM227" i="4" s="1"/>
  <c r="BH212" i="4"/>
  <c r="BI211" i="4"/>
  <c r="BH211" i="4"/>
  <c r="BI210" i="4"/>
  <c r="BH210" i="4"/>
  <c r="BI209" i="4"/>
  <c r="BH209" i="4"/>
  <c r="BI208" i="4"/>
  <c r="BM223" i="4" s="1"/>
  <c r="BH208" i="4"/>
  <c r="BI207" i="4"/>
  <c r="BH207" i="4"/>
  <c r="BI206" i="4"/>
  <c r="BH206" i="4"/>
  <c r="BI205" i="4"/>
  <c r="BH205" i="4"/>
  <c r="BI204" i="4"/>
  <c r="BH204" i="4"/>
  <c r="BI203" i="4"/>
  <c r="BH203" i="4"/>
  <c r="BI202" i="4"/>
  <c r="BH202" i="4"/>
  <c r="BI201" i="4"/>
  <c r="BH201" i="4"/>
  <c r="BI200" i="4"/>
  <c r="BH200" i="4"/>
  <c r="BH6" i="4"/>
  <c r="BG6" i="4"/>
  <c r="BF6" i="4"/>
  <c r="BE6" i="4"/>
  <c r="BD6" i="4"/>
  <c r="BC6" i="4"/>
  <c r="BI6" i="4" s="1"/>
  <c r="AX6" i="4"/>
  <c r="AW6" i="4"/>
  <c r="AV6" i="4"/>
  <c r="BB6" i="4" s="1"/>
  <c r="AU6" i="4"/>
  <c r="BA6" i="4" s="1"/>
  <c r="AL6" i="4"/>
  <c r="AK6" i="4"/>
  <c r="AJ6" i="4"/>
  <c r="AI6" i="4"/>
  <c r="AH6" i="4"/>
  <c r="AG6" i="4"/>
  <c r="AM6" i="4" s="1"/>
  <c r="X6" i="4"/>
  <c r="W6" i="4"/>
  <c r="V6" i="4"/>
  <c r="Z6" i="4" s="1"/>
  <c r="U6" i="4"/>
  <c r="Y6" i="4" s="1"/>
  <c r="T6" i="4"/>
  <c r="S6" i="4"/>
  <c r="R6" i="4"/>
  <c r="Q6" i="4"/>
  <c r="P6" i="4"/>
  <c r="R7" i="4" s="1"/>
  <c r="O6" i="4"/>
  <c r="Q7" i="4" s="1"/>
  <c r="N6" i="4"/>
  <c r="P7" i="4" s="1"/>
  <c r="R8" i="4" s="1"/>
  <c r="M6" i="4"/>
  <c r="O7" i="4" s="1"/>
  <c r="Q8" i="4" s="1"/>
  <c r="J6" i="4"/>
  <c r="I6" i="4"/>
  <c r="H6" i="4"/>
  <c r="J7" i="4" s="1"/>
  <c r="G6" i="4"/>
  <c r="I7" i="4" s="1"/>
  <c r="F6" i="4"/>
  <c r="H7" i="4" s="1"/>
  <c r="J8" i="4" s="1"/>
  <c r="E6" i="4"/>
  <c r="BG7" i="4" s="1"/>
  <c r="AA6" i="4" l="1"/>
  <c r="AB6" i="4"/>
  <c r="AO6" i="4"/>
  <c r="AN6" i="4"/>
  <c r="AP6" i="4" s="1"/>
  <c r="BJ6" i="4"/>
  <c r="BL6" i="4" s="1"/>
  <c r="BH7" i="4"/>
  <c r="BK6" i="4"/>
  <c r="G7" i="4"/>
  <c r="I8" i="4" s="1"/>
  <c r="BL216" i="4"/>
  <c r="BN216" i="4"/>
  <c r="BJ216" i="4"/>
  <c r="BL218" i="4"/>
  <c r="BN218" i="4"/>
  <c r="BJ218" i="4"/>
  <c r="BL220" i="4"/>
  <c r="BN220" i="4"/>
  <c r="BL222" i="4"/>
  <c r="BJ222" i="4"/>
  <c r="BN224" i="4"/>
  <c r="BJ224" i="4"/>
  <c r="BL224" i="4"/>
  <c r="BO224" i="4"/>
  <c r="BN226" i="4"/>
  <c r="BJ226" i="4"/>
  <c r="BL226" i="4"/>
  <c r="BN228" i="4"/>
  <c r="BJ228" i="4"/>
  <c r="BL228" i="4"/>
  <c r="BN230" i="4"/>
  <c r="BJ230" i="4"/>
  <c r="BL230" i="4"/>
  <c r="CA217" i="4"/>
  <c r="BK230" i="4"/>
  <c r="CB217" i="4"/>
  <c r="BX217" i="4"/>
  <c r="BJ220" i="4"/>
  <c r="BN222" i="4"/>
  <c r="BM216" i="4"/>
  <c r="BM218" i="4"/>
  <c r="BM220" i="4"/>
  <c r="BM222" i="4"/>
  <c r="BM224" i="4"/>
  <c r="BM226" i="4"/>
  <c r="BM228" i="4"/>
  <c r="BM230" i="4"/>
  <c r="BK216" i="4"/>
  <c r="BO216" i="4"/>
  <c r="BM217" i="4"/>
  <c r="BY217" i="4"/>
  <c r="CC217" i="4"/>
  <c r="BK218" i="4"/>
  <c r="BO218" i="4"/>
  <c r="BM219" i="4"/>
  <c r="BK220" i="4"/>
  <c r="BO220" i="4"/>
  <c r="BM221" i="4"/>
  <c r="BK222" i="4"/>
  <c r="BO222" i="4"/>
  <c r="BK228" i="4"/>
  <c r="BO230" i="4"/>
  <c r="BL225" i="4"/>
  <c r="BN225" i="4"/>
  <c r="BJ225" i="4"/>
  <c r="BL227" i="4"/>
  <c r="BN227" i="4"/>
  <c r="BJ227" i="4"/>
  <c r="BL229" i="4"/>
  <c r="BN229" i="4"/>
  <c r="BJ229" i="4"/>
  <c r="BX216" i="4"/>
  <c r="CB216" i="4"/>
  <c r="BJ217" i="4"/>
  <c r="BN217" i="4"/>
  <c r="BZ217" i="4"/>
  <c r="BJ219" i="4"/>
  <c r="BN219" i="4"/>
  <c r="BJ221" i="4"/>
  <c r="BN221" i="4"/>
  <c r="BJ223" i="4"/>
  <c r="BN223" i="4"/>
  <c r="BK226" i="4"/>
  <c r="BO228" i="4"/>
  <c r="BO225" i="4"/>
  <c r="BK225" i="4"/>
  <c r="BO227" i="4"/>
  <c r="BK227" i="4"/>
  <c r="BO229" i="4"/>
  <c r="BK229" i="4"/>
  <c r="BY216" i="4"/>
  <c r="CC216" i="4"/>
  <c r="BK217" i="4"/>
  <c r="BO217" i="4"/>
  <c r="BK219" i="4"/>
  <c r="BO219" i="4"/>
  <c r="BK221" i="4"/>
  <c r="BO221" i="4"/>
  <c r="BK223" i="4"/>
  <c r="BO223" i="4"/>
  <c r="BK224" i="4"/>
  <c r="BM225" i="4"/>
  <c r="BO226" i="4"/>
  <c r="AR6" i="4" l="1"/>
  <c r="AT6" i="4" s="1"/>
  <c r="BQ217" i="4"/>
  <c r="BS217" i="4" s="1"/>
  <c r="BQ220" i="4"/>
  <c r="BS220" i="4" s="1"/>
  <c r="AD6" i="4"/>
  <c r="AF6" i="4" s="1"/>
  <c r="BS221" i="4"/>
  <c r="BQ221" i="4"/>
  <c r="BP217" i="4"/>
  <c r="BR217" i="4" s="1"/>
  <c r="BP223" i="4"/>
  <c r="BR223" i="4" s="1"/>
  <c r="BQ228" i="4"/>
  <c r="BS228" i="4"/>
  <c r="BQ218" i="4"/>
  <c r="BS218" i="4" s="1"/>
  <c r="AC6" i="4"/>
  <c r="AE6" i="4" s="1"/>
  <c r="BQ224" i="4"/>
  <c r="BS224" i="4" s="1"/>
  <c r="BP230" i="4"/>
  <c r="BR230" i="4" s="1"/>
  <c r="BS225" i="4"/>
  <c r="BQ225" i="4"/>
  <c r="BP219" i="4"/>
  <c r="BR219" i="4" s="1"/>
  <c r="BQ222" i="4"/>
  <c r="BS222" i="4" s="1"/>
  <c r="BQ230" i="4"/>
  <c r="BS230" i="4"/>
  <c r="BR224" i="4"/>
  <c r="BP224" i="4"/>
  <c r="BP222" i="4"/>
  <c r="BR222" i="4"/>
  <c r="BQ223" i="4"/>
  <c r="BS223" i="4" s="1"/>
  <c r="BQ219" i="4"/>
  <c r="BS219" i="4" s="1"/>
  <c r="CE216" i="4"/>
  <c r="CG216" i="4" s="1"/>
  <c r="BQ227" i="4"/>
  <c r="BS227" i="4" s="1"/>
  <c r="BQ226" i="4"/>
  <c r="BS226" i="4"/>
  <c r="CD216" i="4"/>
  <c r="CF216" i="4" s="1"/>
  <c r="BP220" i="4"/>
  <c r="BR220" i="4" s="1"/>
  <c r="BP218" i="4"/>
  <c r="BR218" i="4"/>
  <c r="BP216" i="4"/>
  <c r="BR216" i="4" s="1"/>
  <c r="BQ229" i="4"/>
  <c r="BS229" i="4" s="1"/>
  <c r="BR221" i="4"/>
  <c r="BP221" i="4"/>
  <c r="BP229" i="4"/>
  <c r="BR229" i="4"/>
  <c r="BP227" i="4"/>
  <c r="BR227" i="4" s="1"/>
  <c r="BP225" i="4"/>
  <c r="BR225" i="4" s="1"/>
  <c r="CE217" i="4"/>
  <c r="CG217" i="4" s="1"/>
  <c r="BQ216" i="4"/>
  <c r="BS216" i="4" s="1"/>
  <c r="CD217" i="4"/>
  <c r="CF217" i="4" s="1"/>
  <c r="AQ6" i="4"/>
  <c r="AS6" i="4" s="1"/>
  <c r="BR228" i="4"/>
  <c r="BP228" i="4"/>
  <c r="BP226" i="4"/>
  <c r="BR226" i="4" s="1"/>
  <c r="BU216" i="4" l="1"/>
  <c r="BW216" i="4" s="1"/>
  <c r="BI216" i="4" s="1"/>
  <c r="BU229" i="4"/>
  <c r="BW229" i="4" s="1"/>
  <c r="BT220" i="4"/>
  <c r="BV220" i="4" s="1"/>
  <c r="BU227" i="4"/>
  <c r="BW227" i="4" s="1"/>
  <c r="BT223" i="4"/>
  <c r="BV223" i="4" s="1"/>
  <c r="BM6" i="4"/>
  <c r="BN6" i="4"/>
  <c r="BO6" i="4" s="1"/>
  <c r="CI217" i="4"/>
  <c r="CK217" i="4" s="1"/>
  <c r="BT216" i="4"/>
  <c r="BV216" i="4" s="1"/>
  <c r="CH216" i="4"/>
  <c r="CJ216" i="4" s="1"/>
  <c r="CK216" i="4"/>
  <c r="CI216" i="4"/>
  <c r="BU218" i="4"/>
  <c r="BW218" i="4"/>
  <c r="BV217" i="4"/>
  <c r="BT217" i="4"/>
  <c r="BU220" i="4"/>
  <c r="BW220" i="4" s="1"/>
  <c r="BS6" i="4"/>
  <c r="BT225" i="4"/>
  <c r="BV225" i="4" s="1"/>
  <c r="BU219" i="4"/>
  <c r="BW219" i="4" s="1"/>
  <c r="BU222" i="4"/>
  <c r="BW222" i="4" s="1"/>
  <c r="BT230" i="4"/>
  <c r="BV230" i="4" s="1"/>
  <c r="BW217" i="4"/>
  <c r="BU217" i="4"/>
  <c r="BT226" i="4"/>
  <c r="BV226" i="4" s="1"/>
  <c r="CH217" i="4"/>
  <c r="CJ217" i="4" s="1"/>
  <c r="BT227" i="4"/>
  <c r="BV227" i="4"/>
  <c r="BW223" i="4"/>
  <c r="BU223" i="4"/>
  <c r="BT219" i="4"/>
  <c r="BV219" i="4" s="1"/>
  <c r="BU224" i="4"/>
  <c r="BW224" i="4" s="1"/>
  <c r="BR6" i="4"/>
  <c r="BQ6" i="4"/>
  <c r="BT218" i="4"/>
  <c r="BV218" i="4" s="1"/>
  <c r="BU228" i="4"/>
  <c r="BW228" i="4"/>
  <c r="BT222" i="4"/>
  <c r="BV222" i="4" s="1"/>
  <c r="BU230" i="4"/>
  <c r="BW230" i="4" s="1"/>
  <c r="BV228" i="4"/>
  <c r="BT228" i="4"/>
  <c r="BT221" i="4"/>
  <c r="BV221" i="4" s="1"/>
  <c r="BU226" i="4"/>
  <c r="BW226" i="4" s="1"/>
  <c r="BT229" i="4"/>
  <c r="BV229" i="4"/>
  <c r="BV224" i="4"/>
  <c r="BT224" i="4"/>
  <c r="BU225" i="4"/>
  <c r="BW225" i="4" s="1"/>
  <c r="BW221" i="4"/>
  <c r="BU221" i="4"/>
  <c r="BI217" i="4" l="1"/>
  <c r="BW6" i="4"/>
  <c r="C6" i="4" s="1"/>
  <c r="BU6" i="4"/>
  <c r="K6" i="4" s="1"/>
  <c r="BH216" i="4"/>
  <c r="CC218" i="4" s="1"/>
  <c r="BH217" i="4"/>
  <c r="BV6" i="4"/>
  <c r="L6" i="4" s="1"/>
  <c r="BX6" i="4"/>
  <c r="D6" i="4" s="1"/>
  <c r="BM232" i="4"/>
  <c r="BM231" i="4" l="1"/>
  <c r="CC219" i="4"/>
  <c r="BO232" i="4"/>
  <c r="BL231" i="4"/>
  <c r="BN231" i="4"/>
  <c r="BJ231" i="4"/>
  <c r="CB218" i="4"/>
  <c r="BX218" i="4"/>
  <c r="CA218" i="4"/>
  <c r="AW7" i="4"/>
  <c r="U7" i="4"/>
  <c r="M7" i="4"/>
  <c r="O8" i="4" s="1"/>
  <c r="Q9" i="4" s="1"/>
  <c r="X7" i="4"/>
  <c r="AU7" i="4"/>
  <c r="BA7" i="4" s="1"/>
  <c r="S7" i="4"/>
  <c r="BC7" i="4"/>
  <c r="AG7" i="4"/>
  <c r="E7" i="4"/>
  <c r="AJ7" i="4"/>
  <c r="BE7" i="4"/>
  <c r="AL7" i="4"/>
  <c r="AV7" i="4"/>
  <c r="BB7" i="4" s="1"/>
  <c r="T7" i="4"/>
  <c r="W7" i="4"/>
  <c r="AX7" i="4"/>
  <c r="V7" i="4"/>
  <c r="N7" i="4"/>
  <c r="P8" i="4" s="1"/>
  <c r="R9" i="4" s="1"/>
  <c r="BZ219" i="4"/>
  <c r="BK231" i="4"/>
  <c r="BZ218" i="4"/>
  <c r="BO231" i="4"/>
  <c r="BN232" i="4"/>
  <c r="BJ232" i="4"/>
  <c r="BL232" i="4"/>
  <c r="CA219" i="4"/>
  <c r="CB219" i="4"/>
  <c r="BX219" i="4"/>
  <c r="BY219" i="4"/>
  <c r="BK232" i="4"/>
  <c r="AK7" i="4"/>
  <c r="BF7" i="4"/>
  <c r="AI7" i="4"/>
  <c r="BD7" i="4"/>
  <c r="AH7" i="4"/>
  <c r="F7" i="4"/>
  <c r="BY218" i="4"/>
  <c r="BP231" i="4" l="1"/>
  <c r="BR231" i="4" s="1"/>
  <c r="BJ7" i="4"/>
  <c r="BL7" i="4" s="1"/>
  <c r="BQ232" i="4"/>
  <c r="BS232" i="4" s="1"/>
  <c r="AO7" i="4"/>
  <c r="AM7" i="4"/>
  <c r="AN7" i="4"/>
  <c r="AP7" i="4" s="1"/>
  <c r="BQ231" i="4"/>
  <c r="BS231" i="4" s="1"/>
  <c r="BI7" i="4"/>
  <c r="BK7" i="4" s="1"/>
  <c r="CD218" i="4"/>
  <c r="CF218" i="4" s="1"/>
  <c r="G8" i="4"/>
  <c r="I9" i="4" s="1"/>
  <c r="BG8" i="4"/>
  <c r="CE218" i="4"/>
  <c r="CG218" i="4" s="1"/>
  <c r="CE219" i="4"/>
  <c r="CG219" i="4" s="1"/>
  <c r="BH8" i="4"/>
  <c r="H8" i="4"/>
  <c r="J9" i="4" s="1"/>
  <c r="CD219" i="4"/>
  <c r="CF219" i="4" s="1"/>
  <c r="BP232" i="4"/>
  <c r="BR232" i="4" s="1"/>
  <c r="Z7" i="4"/>
  <c r="AB7" i="4" s="1"/>
  <c r="Y7" i="4"/>
  <c r="AA7" i="4" s="1"/>
  <c r="BT232" i="4" l="1"/>
  <c r="BV232" i="4" s="1"/>
  <c r="AR7" i="4"/>
  <c r="AT7" i="4" s="1"/>
  <c r="AD7" i="4"/>
  <c r="AF7" i="4" s="1"/>
  <c r="BU232" i="4"/>
  <c r="BW232" i="4" s="1"/>
  <c r="CH219" i="4"/>
  <c r="CJ219" i="4" s="1"/>
  <c r="BU231" i="4"/>
  <c r="BW231" i="4" s="1"/>
  <c r="CH218" i="4"/>
  <c r="CJ218" i="4" s="1"/>
  <c r="AC7" i="4"/>
  <c r="AE7" i="4" s="1"/>
  <c r="CI218" i="4"/>
  <c r="CK218" i="4" s="1"/>
  <c r="BI218" i="4" s="1"/>
  <c r="BT231" i="4"/>
  <c r="BV231" i="4" s="1"/>
  <c r="CI219" i="4"/>
  <c r="CK219" i="4" s="1"/>
  <c r="BI219" i="4" s="1"/>
  <c r="AQ7" i="4"/>
  <c r="AS7" i="4" s="1"/>
  <c r="BM7" i="4" l="1"/>
  <c r="BN7" i="4"/>
  <c r="BR7" i="4"/>
  <c r="BS7" i="4" s="1"/>
  <c r="BQ7" i="4"/>
  <c r="BO7" i="4"/>
  <c r="BH218" i="4"/>
  <c r="BO233" i="4" s="1"/>
  <c r="BH219" i="4"/>
  <c r="BZ221" i="4" s="1"/>
  <c r="BW7" i="4" l="1"/>
  <c r="C7" i="4" s="1"/>
  <c r="BU7" i="4"/>
  <c r="K7" i="4" s="1"/>
  <c r="BX7" i="4"/>
  <c r="D7" i="4" s="1"/>
  <c r="BV7" i="4"/>
  <c r="L7" i="4" s="1"/>
  <c r="BM233" i="4"/>
  <c r="BN234" i="4"/>
  <c r="BJ234" i="4"/>
  <c r="BL234" i="4"/>
  <c r="CA221" i="4"/>
  <c r="BX221" i="4"/>
  <c r="CB221" i="4"/>
  <c r="BZ220" i="4"/>
  <c r="BK233" i="4"/>
  <c r="BY221" i="4"/>
  <c r="BK234" i="4"/>
  <c r="CC221" i="4"/>
  <c r="BO234" i="4"/>
  <c r="BY220" i="4"/>
  <c r="BM234" i="4"/>
  <c r="BL233" i="4"/>
  <c r="BN233" i="4"/>
  <c r="BJ233" i="4"/>
  <c r="CB220" i="4"/>
  <c r="BX220" i="4"/>
  <c r="CA220" i="4"/>
  <c r="CC220" i="4"/>
  <c r="CE220" i="4" l="1"/>
  <c r="CG220" i="4" s="1"/>
  <c r="CE221" i="4"/>
  <c r="CG221" i="4" s="1"/>
  <c r="BP234" i="4"/>
  <c r="BR234" i="4" s="1"/>
  <c r="W8" i="4"/>
  <c r="AV8" i="4"/>
  <c r="AX8" i="4"/>
  <c r="T8" i="4"/>
  <c r="N8" i="4"/>
  <c r="P9" i="4" s="1"/>
  <c r="R10" i="4" s="1"/>
  <c r="V8" i="4"/>
  <c r="CD220" i="4"/>
  <c r="CF220" i="4" s="1"/>
  <c r="BQ233" i="4"/>
  <c r="BS233" i="4" s="1"/>
  <c r="CD221" i="4"/>
  <c r="CF221" i="4" s="1"/>
  <c r="AI8" i="4"/>
  <c r="BF8" i="4"/>
  <c r="AH8" i="4"/>
  <c r="F8" i="4"/>
  <c r="BD8" i="4"/>
  <c r="AK8" i="4"/>
  <c r="AU8" i="4"/>
  <c r="S8" i="4"/>
  <c r="X8" i="4"/>
  <c r="AW8" i="4"/>
  <c r="M8" i="4"/>
  <c r="O9" i="4" s="1"/>
  <c r="Q10" i="4" s="1"/>
  <c r="U8" i="4"/>
  <c r="BP233" i="4"/>
  <c r="BR233" i="4"/>
  <c r="BQ234" i="4"/>
  <c r="BS234" i="4" s="1"/>
  <c r="BE8" i="4"/>
  <c r="AJ8" i="4"/>
  <c r="AG8" i="4"/>
  <c r="AL8" i="4"/>
  <c r="E8" i="4"/>
  <c r="BC8" i="4"/>
  <c r="BU234" i="4" l="1"/>
  <c r="BW234" i="4" s="1"/>
  <c r="BT234" i="4"/>
  <c r="BV234" i="4" s="1"/>
  <c r="CI221" i="4"/>
  <c r="CK221" i="4" s="1"/>
  <c r="BI221" i="4" s="1"/>
  <c r="BU233" i="4"/>
  <c r="BW233" i="4" s="1"/>
  <c r="CH220" i="4"/>
  <c r="CJ220" i="4" s="1"/>
  <c r="CI220" i="4"/>
  <c r="CK220" i="4" s="1"/>
  <c r="BI220" i="4" s="1"/>
  <c r="BB8" i="4"/>
  <c r="BJ8" i="4"/>
  <c r="BL8" i="4" s="1"/>
  <c r="BI8" i="4"/>
  <c r="BK8" i="4" s="1"/>
  <c r="BT233" i="4"/>
  <c r="BV233" i="4" s="1"/>
  <c r="BG9" i="4"/>
  <c r="G9" i="4"/>
  <c r="I10" i="4" s="1"/>
  <c r="Y8" i="4"/>
  <c r="AA8" i="4" s="1"/>
  <c r="H9" i="4"/>
  <c r="J10" i="4" s="1"/>
  <c r="BH9" i="4"/>
  <c r="CH221" i="4"/>
  <c r="CJ221" i="4" s="1"/>
  <c r="BH221" i="4" s="1"/>
  <c r="Z8" i="4"/>
  <c r="AB8" i="4" s="1"/>
  <c r="AM8" i="4"/>
  <c r="AO8" i="4" s="1"/>
  <c r="BA8" i="4"/>
  <c r="AN8" i="4"/>
  <c r="AP8" i="4" s="1"/>
  <c r="AR8" i="4" l="1"/>
  <c r="AT8" i="4" s="1"/>
  <c r="AC8" i="4"/>
  <c r="AE8" i="4" s="1"/>
  <c r="AQ8" i="4"/>
  <c r="AS8" i="4" s="1"/>
  <c r="BM236" i="4"/>
  <c r="BZ223" i="4"/>
  <c r="BY223" i="4"/>
  <c r="BO236" i="4"/>
  <c r="BK236" i="4"/>
  <c r="CC223" i="4"/>
  <c r="BN236" i="4"/>
  <c r="BJ236" i="4"/>
  <c r="CB223" i="4"/>
  <c r="BX223" i="4"/>
  <c r="CA223" i="4"/>
  <c r="BL236" i="4"/>
  <c r="AD8" i="4"/>
  <c r="AF8" i="4" s="1"/>
  <c r="BH220" i="4"/>
  <c r="BO235" i="4" s="1"/>
  <c r="BM235" i="4" l="1"/>
  <c r="BM8" i="4"/>
  <c r="BN8" i="4"/>
  <c r="BO8" i="4" s="1"/>
  <c r="BR8" i="4"/>
  <c r="BS8" i="4" s="1"/>
  <c r="BQ8" i="4"/>
  <c r="BP236" i="4"/>
  <c r="BR236" i="4" s="1"/>
  <c r="BQ236" i="4"/>
  <c r="BS236" i="4" s="1"/>
  <c r="BL235" i="4"/>
  <c r="BN235" i="4"/>
  <c r="BJ235" i="4"/>
  <c r="CB222" i="4"/>
  <c r="BX222" i="4"/>
  <c r="CA222" i="4"/>
  <c r="CC222" i="4"/>
  <c r="BY222" i="4"/>
  <c r="CD223" i="4"/>
  <c r="CF223" i="4" s="1"/>
  <c r="CE223" i="4"/>
  <c r="CG223" i="4" s="1"/>
  <c r="BZ222" i="4"/>
  <c r="BK235" i="4"/>
  <c r="CI223" i="4" l="1"/>
  <c r="CK223" i="4" s="1"/>
  <c r="BI223" i="4" s="1"/>
  <c r="BW8" i="4"/>
  <c r="C8" i="4" s="1"/>
  <c r="BU8" i="4"/>
  <c r="K8" i="4" s="1"/>
  <c r="CH223" i="4"/>
  <c r="CJ223" i="4" s="1"/>
  <c r="BH223" i="4" s="1"/>
  <c r="BU236" i="4"/>
  <c r="BW236" i="4" s="1"/>
  <c r="BT236" i="4"/>
  <c r="BV236" i="4" s="1"/>
  <c r="BQ235" i="4"/>
  <c r="BS235" i="4" s="1"/>
  <c r="CE222" i="4"/>
  <c r="CG222" i="4" s="1"/>
  <c r="CD222" i="4"/>
  <c r="CF222" i="4" s="1"/>
  <c r="BX8" i="4"/>
  <c r="D8" i="4" s="1"/>
  <c r="BV8" i="4"/>
  <c r="L8" i="4" s="1"/>
  <c r="BP235" i="4"/>
  <c r="BR235" i="4" s="1"/>
  <c r="BN238" i="4" l="1"/>
  <c r="BJ238" i="4"/>
  <c r="CB225" i="4"/>
  <c r="BX225" i="4"/>
  <c r="CA225" i="4"/>
  <c r="BL238" i="4"/>
  <c r="CH222" i="4"/>
  <c r="CJ222" i="4" s="1"/>
  <c r="BH222" i="4" s="1"/>
  <c r="BT235" i="4"/>
  <c r="BV235" i="4" s="1"/>
  <c r="CI222" i="4"/>
  <c r="CK222" i="4" s="1"/>
  <c r="BI222" i="4" s="1"/>
  <c r="BM238" i="4"/>
  <c r="BZ225" i="4"/>
  <c r="CC225" i="4"/>
  <c r="BY225" i="4"/>
  <c r="BO238" i="4"/>
  <c r="BK238" i="4"/>
  <c r="AW9" i="4"/>
  <c r="U9" i="4"/>
  <c r="M9" i="4"/>
  <c r="O10" i="4" s="1"/>
  <c r="Q11" i="4" s="1"/>
  <c r="X9" i="4"/>
  <c r="AU9" i="4"/>
  <c r="S9" i="4"/>
  <c r="BU235" i="4"/>
  <c r="BW235" i="4" s="1"/>
  <c r="BC9" i="4"/>
  <c r="AG9" i="4"/>
  <c r="E9" i="4"/>
  <c r="AJ9" i="4"/>
  <c r="BE9" i="4"/>
  <c r="AL9" i="4"/>
  <c r="AV9" i="4"/>
  <c r="T9" i="4"/>
  <c r="W9" i="4"/>
  <c r="AX9" i="4"/>
  <c r="V9" i="4"/>
  <c r="N9" i="4"/>
  <c r="P10" i="4" s="1"/>
  <c r="R11" i="4" s="1"/>
  <c r="AK9" i="4"/>
  <c r="BF9" i="4"/>
  <c r="AI9" i="4"/>
  <c r="BD9" i="4"/>
  <c r="AH9" i="4"/>
  <c r="F9" i="4"/>
  <c r="BA9" i="4" l="1"/>
  <c r="BB9" i="4"/>
  <c r="BL237" i="4"/>
  <c r="BN237" i="4"/>
  <c r="BJ237" i="4"/>
  <c r="CB224" i="4"/>
  <c r="BX224" i="4"/>
  <c r="CA224" i="4"/>
  <c r="BZ224" i="4"/>
  <c r="BO237" i="4"/>
  <c r="BK237" i="4"/>
  <c r="CC224" i="4"/>
  <c r="BY224" i="4"/>
  <c r="BM237" i="4"/>
  <c r="AN9" i="4"/>
  <c r="AP9" i="4" s="1"/>
  <c r="BI9" i="4"/>
  <c r="BK9" i="4" s="1"/>
  <c r="BJ9" i="4"/>
  <c r="BL9" i="4" s="1"/>
  <c r="Z9" i="4"/>
  <c r="AB9" i="4" s="1"/>
  <c r="G10" i="4"/>
  <c r="I11" i="4" s="1"/>
  <c r="BG10" i="4"/>
  <c r="BQ238" i="4"/>
  <c r="BS238" i="4" s="1"/>
  <c r="BP238" i="4"/>
  <c r="BR238" i="4" s="1"/>
  <c r="BH10" i="4"/>
  <c r="H10" i="4"/>
  <c r="J11" i="4" s="1"/>
  <c r="AM9" i="4"/>
  <c r="AO9" i="4" s="1"/>
  <c r="Y9" i="4"/>
  <c r="AA9" i="4" s="1"/>
  <c r="CE225" i="4"/>
  <c r="CG225" i="4" s="1"/>
  <c r="CD225" i="4"/>
  <c r="CF225" i="4" s="1"/>
  <c r="AQ9" i="4" l="1"/>
  <c r="AS9" i="4" s="1"/>
  <c r="CI225" i="4"/>
  <c r="CK225" i="4" s="1"/>
  <c r="BI225" i="4" s="1"/>
  <c r="AC9" i="4"/>
  <c r="AE9" i="4"/>
  <c r="BT238" i="4"/>
  <c r="BV238" i="4" s="1"/>
  <c r="BU238" i="4"/>
  <c r="BW238" i="4" s="1"/>
  <c r="AR9" i="4"/>
  <c r="AT9" i="4" s="1"/>
  <c r="CE224" i="4"/>
  <c r="CG224" i="4" s="1"/>
  <c r="AD9" i="4"/>
  <c r="AF9" i="4" s="1"/>
  <c r="CD224" i="4"/>
  <c r="CF224" i="4" s="1"/>
  <c r="BQ237" i="4"/>
  <c r="BS237" i="4" s="1"/>
  <c r="CH225" i="4"/>
  <c r="CJ225" i="4" s="1"/>
  <c r="BH225" i="4" s="1"/>
  <c r="BP237" i="4"/>
  <c r="BR237" i="4" s="1"/>
  <c r="BT237" i="4" l="1"/>
  <c r="BV237" i="4" s="1"/>
  <c r="CH224" i="4"/>
  <c r="CJ224" i="4" s="1"/>
  <c r="BR9" i="4"/>
  <c r="BS9" i="4" s="1"/>
  <c r="BQ9" i="4"/>
  <c r="BM240" i="4"/>
  <c r="BZ227" i="4"/>
  <c r="BK240" i="4"/>
  <c r="CC227" i="4"/>
  <c r="BY227" i="4"/>
  <c r="BO240" i="4"/>
  <c r="BN240" i="4"/>
  <c r="BJ240" i="4"/>
  <c r="CB227" i="4"/>
  <c r="BX227" i="4"/>
  <c r="CA227" i="4"/>
  <c r="BL240" i="4"/>
  <c r="BU237" i="4"/>
  <c r="BW237" i="4" s="1"/>
  <c r="CI224" i="4"/>
  <c r="CK224" i="4" s="1"/>
  <c r="BI224" i="4" s="1"/>
  <c r="BN9" i="4"/>
  <c r="BO9" i="4" s="1"/>
  <c r="BM9" i="4"/>
  <c r="BH224" i="4" l="1"/>
  <c r="BZ226" i="4" s="1"/>
  <c r="BK239" i="4"/>
  <c r="CC226" i="4"/>
  <c r="BY226" i="4"/>
  <c r="BW9" i="4"/>
  <c r="C9" i="4" s="1"/>
  <c r="BU9" i="4"/>
  <c r="K9" i="4" s="1"/>
  <c r="BL239" i="4"/>
  <c r="BJ239" i="4"/>
  <c r="CB226" i="4"/>
  <c r="BX226" i="4"/>
  <c r="CE227" i="4"/>
  <c r="CG227" i="4" s="1"/>
  <c r="CD227" i="4"/>
  <c r="CF227" i="4" s="1"/>
  <c r="BQ240" i="4"/>
  <c r="BS240" i="4" s="1"/>
  <c r="BX9" i="4"/>
  <c r="D9" i="4" s="1"/>
  <c r="BV9" i="4"/>
  <c r="L9" i="4" s="1"/>
  <c r="BP240" i="4"/>
  <c r="BR240" i="4" s="1"/>
  <c r="CA226" i="4" l="1"/>
  <c r="BN239" i="4"/>
  <c r="BM239" i="4"/>
  <c r="BO239" i="4"/>
  <c r="CH227" i="4"/>
  <c r="CJ227" i="4" s="1"/>
  <c r="BT240" i="4"/>
  <c r="BV240" i="4" s="1"/>
  <c r="CI227" i="4"/>
  <c r="CK227" i="4" s="1"/>
  <c r="BI227" i="4" s="1"/>
  <c r="BU240" i="4"/>
  <c r="BW240" i="4" s="1"/>
  <c r="CD226" i="4"/>
  <c r="CF226" i="4" s="1"/>
  <c r="BQ239" i="4"/>
  <c r="BS239" i="4" s="1"/>
  <c r="W10" i="4"/>
  <c r="AX10" i="4"/>
  <c r="V10" i="4"/>
  <c r="N10" i="4"/>
  <c r="P11" i="4" s="1"/>
  <c r="R12" i="4" s="1"/>
  <c r="AV10" i="4"/>
  <c r="T10" i="4"/>
  <c r="AI10" i="4"/>
  <c r="BD10" i="4"/>
  <c r="AH10" i="4"/>
  <c r="F10" i="4"/>
  <c r="AK10" i="4"/>
  <c r="BF10" i="4"/>
  <c r="BP239" i="4"/>
  <c r="BR239" i="4" s="1"/>
  <c r="AU10" i="4"/>
  <c r="S10" i="4"/>
  <c r="AW10" i="4"/>
  <c r="U10" i="4"/>
  <c r="M10" i="4"/>
  <c r="O11" i="4" s="1"/>
  <c r="Q12" i="4" s="1"/>
  <c r="X10" i="4"/>
  <c r="CE226" i="4"/>
  <c r="CG226" i="4" s="1"/>
  <c r="BE10" i="4"/>
  <c r="AL10" i="4"/>
  <c r="BC10" i="4"/>
  <c r="AG10" i="4"/>
  <c r="E10" i="4"/>
  <c r="AJ10" i="4"/>
  <c r="BB10" i="4" l="1"/>
  <c r="BH227" i="4"/>
  <c r="BT239" i="4"/>
  <c r="BV239" i="4" s="1"/>
  <c r="BU239" i="4"/>
  <c r="BW239" i="4" s="1"/>
  <c r="CH226" i="4"/>
  <c r="CJ226" i="4" s="1"/>
  <c r="BL242" i="4"/>
  <c r="BJ242" i="4"/>
  <c r="CB229" i="4"/>
  <c r="BX229" i="4"/>
  <c r="CA229" i="4"/>
  <c r="BN242" i="4"/>
  <c r="BJ10" i="4"/>
  <c r="BL10" i="4" s="1"/>
  <c r="Y10" i="4"/>
  <c r="AA10" i="4" s="1"/>
  <c r="BG11" i="4"/>
  <c r="G11" i="4"/>
  <c r="I12" i="4" s="1"/>
  <c r="BA10" i="4"/>
  <c r="BI10" i="4"/>
  <c r="BK10" i="4" s="1"/>
  <c r="CI226" i="4"/>
  <c r="CK226" i="4" s="1"/>
  <c r="BI226" i="4" s="1"/>
  <c r="AM10" i="4"/>
  <c r="AO10" i="4" s="1"/>
  <c r="H11" i="4"/>
  <c r="J12" i="4" s="1"/>
  <c r="BH11" i="4"/>
  <c r="Z10" i="4"/>
  <c r="AB10" i="4" s="1"/>
  <c r="BM242" i="4"/>
  <c r="BO242" i="4"/>
  <c r="BK242" i="4"/>
  <c r="BZ229" i="4"/>
  <c r="CC229" i="4"/>
  <c r="BY229" i="4"/>
  <c r="AN10" i="4"/>
  <c r="AP10" i="4" s="1"/>
  <c r="BH226" i="4" l="1"/>
  <c r="AR10" i="4"/>
  <c r="AT10" i="4" s="1"/>
  <c r="AD10" i="4"/>
  <c r="AF10" i="4" s="1"/>
  <c r="BO241" i="4"/>
  <c r="BK241" i="4"/>
  <c r="BM241" i="4"/>
  <c r="BZ228" i="4"/>
  <c r="CC228" i="4"/>
  <c r="BY228" i="4"/>
  <c r="BN241" i="4"/>
  <c r="BJ241" i="4"/>
  <c r="CB228" i="4"/>
  <c r="BX228" i="4"/>
  <c r="BL241" i="4"/>
  <c r="CA228" i="4"/>
  <c r="AC10" i="4"/>
  <c r="AE10" i="4" s="1"/>
  <c r="AQ10" i="4"/>
  <c r="AS10" i="4" s="1"/>
  <c r="BP242" i="4"/>
  <c r="BR242" i="4" s="1"/>
  <c r="BQ242" i="4"/>
  <c r="BS242" i="4" s="1"/>
  <c r="CD229" i="4"/>
  <c r="CF229" i="4" s="1"/>
  <c r="CE229" i="4"/>
  <c r="CG229" i="4" s="1"/>
  <c r="CH229" i="4" l="1"/>
  <c r="CJ229" i="4" s="1"/>
  <c r="BM10" i="4"/>
  <c r="BN10" i="4"/>
  <c r="BO10" i="4"/>
  <c r="CI229" i="4"/>
  <c r="CK229" i="4" s="1"/>
  <c r="BI229" i="4" s="1"/>
  <c r="BT242" i="4"/>
  <c r="BV242" i="4" s="1"/>
  <c r="BR10" i="4"/>
  <c r="BS10" i="4" s="1"/>
  <c r="BQ10" i="4"/>
  <c r="BP241" i="4"/>
  <c r="BR241" i="4" s="1"/>
  <c r="CE228" i="4"/>
  <c r="CG228" i="4" s="1"/>
  <c r="BQ241" i="4"/>
  <c r="BS241" i="4" s="1"/>
  <c r="BU242" i="4"/>
  <c r="BW242" i="4" s="1"/>
  <c r="CD228" i="4"/>
  <c r="CF228" i="4" s="1"/>
  <c r="BU241" i="4" l="1"/>
  <c r="BW241" i="4" s="1"/>
  <c r="BT241" i="4"/>
  <c r="BV241" i="4" s="1"/>
  <c r="BH229" i="4"/>
  <c r="BW10" i="4"/>
  <c r="C10" i="4" s="1"/>
  <c r="BU10" i="4"/>
  <c r="K10" i="4" s="1"/>
  <c r="BX10" i="4"/>
  <c r="D10" i="4" s="1"/>
  <c r="BV10" i="4"/>
  <c r="L10" i="4" s="1"/>
  <c r="CI228" i="4"/>
  <c r="CK228" i="4" s="1"/>
  <c r="BI228" i="4" s="1"/>
  <c r="CH228" i="4"/>
  <c r="CJ228" i="4" s="1"/>
  <c r="BH228" i="4" l="1"/>
  <c r="BO243" i="4"/>
  <c r="BK243" i="4"/>
  <c r="BM243" i="4"/>
  <c r="BZ230" i="4"/>
  <c r="CC230" i="4"/>
  <c r="BY230" i="4"/>
  <c r="BN243" i="4"/>
  <c r="BJ243" i="4"/>
  <c r="BL243" i="4"/>
  <c r="CB230" i="4"/>
  <c r="BX230" i="4"/>
  <c r="CA230" i="4"/>
  <c r="AK11" i="4"/>
  <c r="BF11" i="4"/>
  <c r="AI11" i="4"/>
  <c r="BD11" i="4"/>
  <c r="AH11" i="4"/>
  <c r="F11" i="4"/>
  <c r="BL244" i="4"/>
  <c r="BN244" i="4"/>
  <c r="CB231" i="4"/>
  <c r="BX231" i="4"/>
  <c r="BJ244" i="4"/>
  <c r="CA231" i="4"/>
  <c r="BZ231" i="4"/>
  <c r="BM244" i="4"/>
  <c r="AW11" i="4"/>
  <c r="U11" i="4"/>
  <c r="M11" i="4"/>
  <c r="O12" i="4" s="1"/>
  <c r="Q13" i="4" s="1"/>
  <c r="X11" i="4"/>
  <c r="AU11" i="4"/>
  <c r="S11" i="4"/>
  <c r="BK244" i="4"/>
  <c r="BC11" i="4"/>
  <c r="AG11" i="4"/>
  <c r="E11" i="4"/>
  <c r="AJ11" i="4"/>
  <c r="BE11" i="4"/>
  <c r="AL11" i="4"/>
  <c r="CC231" i="4"/>
  <c r="BO244" i="4"/>
  <c r="AV11" i="4"/>
  <c r="BB11" i="4" s="1"/>
  <c r="T11" i="4"/>
  <c r="W11" i="4"/>
  <c r="AX11" i="4"/>
  <c r="V11" i="4"/>
  <c r="N11" i="4"/>
  <c r="P12" i="4" s="1"/>
  <c r="R13" i="4" s="1"/>
  <c r="BY231" i="4"/>
  <c r="BA11" i="4" l="1"/>
  <c r="Z11" i="4"/>
  <c r="AB11" i="4" s="1"/>
  <c r="CE231" i="4"/>
  <c r="CG231" i="4" s="1"/>
  <c r="G12" i="4"/>
  <c r="I13" i="4" s="1"/>
  <c r="BG12" i="4"/>
  <c r="Y11" i="4"/>
  <c r="AA11" i="4" s="1"/>
  <c r="CD231" i="4"/>
  <c r="CF231" i="4" s="1"/>
  <c r="BH12" i="4"/>
  <c r="H12" i="4"/>
  <c r="J13" i="4" s="1"/>
  <c r="BP243" i="4"/>
  <c r="BR243" i="4" s="1"/>
  <c r="AN11" i="4"/>
  <c r="AP11" i="4" s="1"/>
  <c r="CD230" i="4"/>
  <c r="CF230" i="4" s="1"/>
  <c r="CE230" i="4"/>
  <c r="CG230" i="4" s="1"/>
  <c r="BQ243" i="4"/>
  <c r="BS243" i="4" s="1"/>
  <c r="AM11" i="4"/>
  <c r="AO11" i="4" s="1"/>
  <c r="BI11" i="4"/>
  <c r="BK11" i="4" s="1"/>
  <c r="BJ11" i="4"/>
  <c r="BL11" i="4" s="1"/>
  <c r="BQ244" i="4"/>
  <c r="BS244" i="4" s="1"/>
  <c r="BP244" i="4"/>
  <c r="BR244" i="4" s="1"/>
  <c r="AR11" i="4" l="1"/>
  <c r="AT11" i="4" s="1"/>
  <c r="BU244" i="4"/>
  <c r="BW244" i="4" s="1"/>
  <c r="BU243" i="4"/>
  <c r="BW243" i="4" s="1"/>
  <c r="CI231" i="4"/>
  <c r="CK231" i="4" s="1"/>
  <c r="BI231" i="4" s="1"/>
  <c r="CH231" i="4"/>
  <c r="CJ231" i="4" s="1"/>
  <c r="BT244" i="4"/>
  <c r="BV244" i="4" s="1"/>
  <c r="BT243" i="4"/>
  <c r="BV243" i="4" s="1"/>
  <c r="AC11" i="4"/>
  <c r="AE11" i="4" s="1"/>
  <c r="AD11" i="4"/>
  <c r="AF11" i="4" s="1"/>
  <c r="AQ11" i="4"/>
  <c r="AS11" i="4" s="1"/>
  <c r="CI230" i="4"/>
  <c r="CK230" i="4" s="1"/>
  <c r="BI230" i="4" s="1"/>
  <c r="CH230" i="4"/>
  <c r="CJ230" i="4" s="1"/>
  <c r="BM11" i="4" l="1"/>
  <c r="BN11" i="4"/>
  <c r="BO11" i="4" s="1"/>
  <c r="BH231" i="4"/>
  <c r="BM246" i="4" s="1"/>
  <c r="BR11" i="4"/>
  <c r="BS11" i="4" s="1"/>
  <c r="BQ11" i="4"/>
  <c r="BH230" i="4"/>
  <c r="BY232" i="4" s="1"/>
  <c r="CC232" i="4" l="1"/>
  <c r="BO245" i="4"/>
  <c r="BK245" i="4"/>
  <c r="BN245" i="4"/>
  <c r="BJ245" i="4"/>
  <c r="BL245" i="4"/>
  <c r="CB232" i="4"/>
  <c r="BX232" i="4"/>
  <c r="CA232" i="4"/>
  <c r="BZ232" i="4"/>
  <c r="BY233" i="4"/>
  <c r="BO246" i="4"/>
  <c r="BW11" i="4"/>
  <c r="C11" i="4" s="1"/>
  <c r="BU11" i="4"/>
  <c r="K11" i="4" s="1"/>
  <c r="BX11" i="4"/>
  <c r="D11" i="4" s="1"/>
  <c r="BV11" i="4"/>
  <c r="L11" i="4" s="1"/>
  <c r="BM245" i="4"/>
  <c r="CC233" i="4"/>
  <c r="BZ233" i="4"/>
  <c r="BL246" i="4"/>
  <c r="CB233" i="4"/>
  <c r="BX233" i="4"/>
  <c r="BN246" i="4"/>
  <c r="CA233" i="4"/>
  <c r="BJ246" i="4"/>
  <c r="BK246" i="4"/>
  <c r="BQ245" i="4" l="1"/>
  <c r="BS245" i="4" s="1"/>
  <c r="BP246" i="4"/>
  <c r="BR246" i="4" s="1"/>
  <c r="AI12" i="4"/>
  <c r="BD12" i="4"/>
  <c r="AH12" i="4"/>
  <c r="F12" i="4"/>
  <c r="AK12" i="4"/>
  <c r="BF12" i="4"/>
  <c r="CE233" i="4"/>
  <c r="CG233" i="4" s="1"/>
  <c r="CD232" i="4"/>
  <c r="CF232" i="4" s="1"/>
  <c r="AU12" i="4"/>
  <c r="S12" i="4"/>
  <c r="AW12" i="4"/>
  <c r="U12" i="4"/>
  <c r="M12" i="4"/>
  <c r="O13" i="4" s="1"/>
  <c r="Q14" i="4" s="1"/>
  <c r="X12" i="4"/>
  <c r="BE12" i="4"/>
  <c r="AL12" i="4"/>
  <c r="BC12" i="4"/>
  <c r="AG12" i="4"/>
  <c r="E12" i="4"/>
  <c r="AJ12" i="4"/>
  <c r="CE232" i="4"/>
  <c r="CG232" i="4" s="1"/>
  <c r="BQ246" i="4"/>
  <c r="BS246" i="4" s="1"/>
  <c r="CD233" i="4"/>
  <c r="CF233" i="4" s="1"/>
  <c r="W12" i="4"/>
  <c r="AX12" i="4"/>
  <c r="V12" i="4"/>
  <c r="N12" i="4"/>
  <c r="P13" i="4" s="1"/>
  <c r="R14" i="4" s="1"/>
  <c r="AV12" i="4"/>
  <c r="T12" i="4"/>
  <c r="BP245" i="4"/>
  <c r="BR245" i="4" s="1"/>
  <c r="CI232" i="4" l="1"/>
  <c r="CK232" i="4" s="1"/>
  <c r="BI232" i="4" s="1"/>
  <c r="CH233" i="4"/>
  <c r="CJ233" i="4" s="1"/>
  <c r="BT245" i="4"/>
  <c r="BV245" i="4" s="1"/>
  <c r="CI233" i="4"/>
  <c r="CK233" i="4" s="1"/>
  <c r="BI233" i="4" s="1"/>
  <c r="BT246" i="4"/>
  <c r="BV246" i="4" s="1"/>
  <c r="CH232" i="4"/>
  <c r="CJ232" i="4" s="1"/>
  <c r="BH232" i="4" s="1"/>
  <c r="Z12" i="4"/>
  <c r="AB12" i="4" s="1"/>
  <c r="BB12" i="4"/>
  <c r="AM12" i="4"/>
  <c r="AO12" i="4"/>
  <c r="Y12" i="4"/>
  <c r="AA12" i="4" s="1"/>
  <c r="H13" i="4"/>
  <c r="J14" i="4" s="1"/>
  <c r="BH13" i="4"/>
  <c r="BU245" i="4"/>
  <c r="BW245" i="4" s="1"/>
  <c r="BI12" i="4"/>
  <c r="BK12" i="4" s="1"/>
  <c r="BA12" i="4"/>
  <c r="AN12" i="4"/>
  <c r="AP12" i="4" s="1"/>
  <c r="BJ12" i="4"/>
  <c r="BL12" i="4" s="1"/>
  <c r="BU246" i="4"/>
  <c r="BW246" i="4" s="1"/>
  <c r="BG13" i="4"/>
  <c r="G13" i="4"/>
  <c r="I14" i="4" s="1"/>
  <c r="BH233" i="4" l="1"/>
  <c r="BM248" i="4" s="1"/>
  <c r="BZ235" i="4"/>
  <c r="BN247" i="4"/>
  <c r="BJ247" i="4"/>
  <c r="BL247" i="4"/>
  <c r="CB234" i="4"/>
  <c r="BX234" i="4"/>
  <c r="CA234" i="4"/>
  <c r="CA235" i="4"/>
  <c r="AR12" i="4"/>
  <c r="AT12" i="4" s="1"/>
  <c r="AC12" i="4"/>
  <c r="AE12" i="4" s="1"/>
  <c r="BO247" i="4"/>
  <c r="BK247" i="4"/>
  <c r="BM247" i="4"/>
  <c r="BZ234" i="4"/>
  <c r="CC234" i="4"/>
  <c r="BY234" i="4"/>
  <c r="AD12" i="4"/>
  <c r="AF12" i="4" s="1"/>
  <c r="AQ12" i="4"/>
  <c r="AS12" i="4" s="1"/>
  <c r="BX235" i="4" l="1"/>
  <c r="BK248" i="4"/>
  <c r="BO248" i="4"/>
  <c r="BJ248" i="4"/>
  <c r="CB235" i="4"/>
  <c r="BY235" i="4"/>
  <c r="BN248" i="4"/>
  <c r="BL248" i="4"/>
  <c r="CC235" i="4"/>
  <c r="BM12" i="4"/>
  <c r="BN12" i="4"/>
  <c r="BO12" i="4" s="1"/>
  <c r="BR12" i="4"/>
  <c r="BS12" i="4" s="1"/>
  <c r="BQ12" i="4"/>
  <c r="BP247" i="4"/>
  <c r="BR247" i="4" s="1"/>
  <c r="CE235" i="4"/>
  <c r="CG235" i="4" s="1"/>
  <c r="CD234" i="4"/>
  <c r="CF234" i="4" s="1"/>
  <c r="CD235" i="4"/>
  <c r="CF235" i="4" s="1"/>
  <c r="CE234" i="4"/>
  <c r="CG234" i="4" s="1"/>
  <c r="BQ247" i="4"/>
  <c r="BS247" i="4" s="1"/>
  <c r="BP248" i="4"/>
  <c r="BR248" i="4" s="1"/>
  <c r="BQ248" i="4"/>
  <c r="BS248" i="4" s="1"/>
  <c r="BT248" i="4" l="1"/>
  <c r="BV248" i="4" s="1"/>
  <c r="CH235" i="4"/>
  <c r="CJ235" i="4" s="1"/>
  <c r="BW12" i="4"/>
  <c r="C12" i="4" s="1"/>
  <c r="BU12" i="4"/>
  <c r="K12" i="4" s="1"/>
  <c r="CH234" i="4"/>
  <c r="CJ234" i="4" s="1"/>
  <c r="BU247" i="4"/>
  <c r="BW247" i="4" s="1"/>
  <c r="CI235" i="4"/>
  <c r="CK235" i="4" s="1"/>
  <c r="BI235" i="4" s="1"/>
  <c r="CI234" i="4"/>
  <c r="CK234" i="4" s="1"/>
  <c r="BI234" i="4" s="1"/>
  <c r="BT247" i="4"/>
  <c r="BV247" i="4" s="1"/>
  <c r="BX12" i="4"/>
  <c r="D12" i="4" s="1"/>
  <c r="BV12" i="4"/>
  <c r="L12" i="4" s="1"/>
  <c r="BU248" i="4"/>
  <c r="BW248" i="4" s="1"/>
  <c r="BH235" i="4" l="1"/>
  <c r="CB237" i="4" s="1"/>
  <c r="CC236" i="4"/>
  <c r="BJ250" i="4"/>
  <c r="BX237" i="4"/>
  <c r="BN250" i="4"/>
  <c r="BO250" i="4"/>
  <c r="BZ237" i="4"/>
  <c r="BY237" i="4"/>
  <c r="BH234" i="4"/>
  <c r="BM249" i="4" s="1"/>
  <c r="AV13" i="4"/>
  <c r="T13" i="4"/>
  <c r="W13" i="4"/>
  <c r="V13" i="4"/>
  <c r="AX13" i="4"/>
  <c r="N13" i="4"/>
  <c r="P14" i="4" s="1"/>
  <c r="R15" i="4" s="1"/>
  <c r="AW13" i="4"/>
  <c r="U13" i="4"/>
  <c r="M13" i="4"/>
  <c r="O14" i="4" s="1"/>
  <c r="Q15" i="4" s="1"/>
  <c r="X13" i="4"/>
  <c r="AU13" i="4"/>
  <c r="S13" i="4"/>
  <c r="AK13" i="4"/>
  <c r="BF13" i="4"/>
  <c r="AI13" i="4"/>
  <c r="BD13" i="4"/>
  <c r="F13" i="4"/>
  <c r="AH13" i="4"/>
  <c r="BC13" i="4"/>
  <c r="AG13" i="4"/>
  <c r="E13" i="4"/>
  <c r="AJ13" i="4"/>
  <c r="BE13" i="4"/>
  <c r="AL13" i="4"/>
  <c r="BK250" i="4" l="1"/>
  <c r="CA237" i="4"/>
  <c r="BL250" i="4"/>
  <c r="CC237" i="4"/>
  <c r="BM250" i="4"/>
  <c r="BZ236" i="4"/>
  <c r="BO249" i="4"/>
  <c r="BA13" i="4"/>
  <c r="BP250" i="4"/>
  <c r="BR250" i="4" s="1"/>
  <c r="AN13" i="4"/>
  <c r="AP13" i="4" s="1"/>
  <c r="BQ250" i="4"/>
  <c r="BS250" i="4" s="1"/>
  <c r="BB13" i="4"/>
  <c r="CD237" i="4"/>
  <c r="CF237" i="4" s="1"/>
  <c r="BI13" i="4"/>
  <c r="BK13" i="4" s="1"/>
  <c r="Z13" i="4"/>
  <c r="AB13" i="4" s="1"/>
  <c r="CE237" i="4"/>
  <c r="CG237" i="4"/>
  <c r="G14" i="4"/>
  <c r="I15" i="4" s="1"/>
  <c r="BG14" i="4"/>
  <c r="BH14" i="4"/>
  <c r="H14" i="4"/>
  <c r="J15" i="4" s="1"/>
  <c r="AM13" i="4"/>
  <c r="AO13" i="4" s="1"/>
  <c r="BJ13" i="4"/>
  <c r="BL13" i="4" s="1"/>
  <c r="Y13" i="4"/>
  <c r="AA13" i="4" s="1"/>
  <c r="BN249" i="4"/>
  <c r="BJ249" i="4"/>
  <c r="CB236" i="4"/>
  <c r="BX236" i="4"/>
  <c r="BL249" i="4"/>
  <c r="CA236" i="4"/>
  <c r="BY236" i="4"/>
  <c r="BK249" i="4"/>
  <c r="AD13" i="4" l="1"/>
  <c r="AF13" i="4" s="1"/>
  <c r="BU250" i="4"/>
  <c r="BW250" i="4" s="1"/>
  <c r="AR13" i="4"/>
  <c r="AT13" i="4" s="1"/>
  <c r="AC13" i="4"/>
  <c r="AE13" i="4" s="1"/>
  <c r="CH237" i="4"/>
  <c r="CJ237" i="4" s="1"/>
  <c r="BH237" i="4" s="1"/>
  <c r="BT250" i="4"/>
  <c r="BV250" i="4" s="1"/>
  <c r="AQ13" i="4"/>
  <c r="AS13" i="4" s="1"/>
  <c r="BQ249" i="4"/>
  <c r="BS249" i="4" s="1"/>
  <c r="BP249" i="4"/>
  <c r="BR249" i="4" s="1"/>
  <c r="CI237" i="4"/>
  <c r="CK237" i="4" s="1"/>
  <c r="BI237" i="4" s="1"/>
  <c r="CE236" i="4"/>
  <c r="CG236" i="4" s="1"/>
  <c r="CD236" i="4"/>
  <c r="CF236" i="4" s="1"/>
  <c r="BL252" i="4" l="1"/>
  <c r="BN252" i="4"/>
  <c r="CB239" i="4"/>
  <c r="BX239" i="4"/>
  <c r="BJ252" i="4"/>
  <c r="CA239" i="4"/>
  <c r="BR13" i="4"/>
  <c r="BQ13" i="4"/>
  <c r="BU249" i="4"/>
  <c r="BW249" i="4" s="1"/>
  <c r="CI236" i="4"/>
  <c r="CK236" i="4" s="1"/>
  <c r="BI236" i="4" s="1"/>
  <c r="BS13" i="4"/>
  <c r="BT249" i="4"/>
  <c r="BV249" i="4" s="1"/>
  <c r="CH236" i="4"/>
  <c r="CJ236" i="4" s="1"/>
  <c r="BH236" i="4" s="1"/>
  <c r="BM252" i="4"/>
  <c r="BO252" i="4"/>
  <c r="BK252" i="4"/>
  <c r="BZ239" i="4"/>
  <c r="BY239" i="4"/>
  <c r="CC239" i="4"/>
  <c r="BN13" i="4"/>
  <c r="BO13" i="4" s="1"/>
  <c r="BM13" i="4"/>
  <c r="BN251" i="4" l="1"/>
  <c r="BJ251" i="4"/>
  <c r="BL251" i="4"/>
  <c r="CB238" i="4"/>
  <c r="BX238" i="4"/>
  <c r="CA238" i="4"/>
  <c r="BO251" i="4"/>
  <c r="BK251" i="4"/>
  <c r="BM251" i="4"/>
  <c r="BZ238" i="4"/>
  <c r="CC238" i="4"/>
  <c r="BY238" i="4"/>
  <c r="BW13" i="4"/>
  <c r="C13" i="4" s="1"/>
  <c r="BU13" i="4"/>
  <c r="K13" i="4" s="1"/>
  <c r="CD239" i="4"/>
  <c r="CF239" i="4" s="1"/>
  <c r="BQ252" i="4"/>
  <c r="BS252" i="4" s="1"/>
  <c r="BX13" i="4"/>
  <c r="D13" i="4" s="1"/>
  <c r="BV13" i="4"/>
  <c r="L13" i="4" s="1"/>
  <c r="CE239" i="4"/>
  <c r="CG239" i="4" s="1"/>
  <c r="BP252" i="4"/>
  <c r="BR252" i="4" s="1"/>
  <c r="BU252" i="4" l="1"/>
  <c r="BW252" i="4" s="1"/>
  <c r="BT252" i="4"/>
  <c r="BV252" i="4" s="1"/>
  <c r="CI239" i="4"/>
  <c r="CK239" i="4" s="1"/>
  <c r="BI239" i="4" s="1"/>
  <c r="CH239" i="4"/>
  <c r="CJ239" i="4" s="1"/>
  <c r="CE238" i="4"/>
  <c r="CG238" i="4" s="1"/>
  <c r="BQ251" i="4"/>
  <c r="BS251" i="4" s="1"/>
  <c r="BP251" i="4"/>
  <c r="BR251" i="4" s="1"/>
  <c r="W14" i="4"/>
  <c r="AX14" i="4"/>
  <c r="V14" i="4"/>
  <c r="N14" i="4"/>
  <c r="P15" i="4" s="1"/>
  <c r="R16" i="4" s="1"/>
  <c r="T14" i="4"/>
  <c r="AV14" i="4"/>
  <c r="BB14" i="4" s="1"/>
  <c r="AU14" i="4"/>
  <c r="S14" i="4"/>
  <c r="AW14" i="4"/>
  <c r="U14" i="4"/>
  <c r="M14" i="4"/>
  <c r="O15" i="4" s="1"/>
  <c r="Q16" i="4" s="1"/>
  <c r="X14" i="4"/>
  <c r="CD238" i="4"/>
  <c r="CF238" i="4" s="1"/>
  <c r="AI14" i="4"/>
  <c r="BD14" i="4"/>
  <c r="AH14" i="4"/>
  <c r="F14" i="4"/>
  <c r="AK14" i="4"/>
  <c r="BF14" i="4"/>
  <c r="BE14" i="4"/>
  <c r="AL14" i="4"/>
  <c r="BC14" i="4"/>
  <c r="AG14" i="4"/>
  <c r="E14" i="4"/>
  <c r="AJ14" i="4"/>
  <c r="BA14" i="4" l="1"/>
  <c r="BU251" i="4"/>
  <c r="BW251" i="4" s="1"/>
  <c r="BH239" i="4"/>
  <c r="BO254" i="4" s="1"/>
  <c r="H15" i="4"/>
  <c r="J16" i="4" s="1"/>
  <c r="BH15" i="4"/>
  <c r="CH238" i="4"/>
  <c r="CJ238" i="4" s="1"/>
  <c r="AN14" i="4"/>
  <c r="AP14" i="4" s="1"/>
  <c r="Z14" i="4"/>
  <c r="AB14" i="4" s="1"/>
  <c r="BG15" i="4"/>
  <c r="G15" i="4"/>
  <c r="I16" i="4" s="1"/>
  <c r="AM14" i="4"/>
  <c r="AO14" i="4" s="1"/>
  <c r="BJ14" i="4"/>
  <c r="BL14" i="4" s="1"/>
  <c r="Y14" i="4"/>
  <c r="AA14" i="4" s="1"/>
  <c r="BI14" i="4"/>
  <c r="BK14" i="4" s="1"/>
  <c r="BT251" i="4"/>
  <c r="BV251" i="4" s="1"/>
  <c r="CI238" i="4"/>
  <c r="CK238" i="4" s="1"/>
  <c r="BI238" i="4" s="1"/>
  <c r="AR14" i="4" l="1"/>
  <c r="AT14" i="4" s="1"/>
  <c r="AQ14" i="4"/>
  <c r="AS14" i="4" s="1"/>
  <c r="AD14" i="4"/>
  <c r="AF14" i="4" s="1"/>
  <c r="CA241" i="4"/>
  <c r="BL254" i="4"/>
  <c r="BX241" i="4"/>
  <c r="BN254" i="4"/>
  <c r="BJ254" i="4"/>
  <c r="CB241" i="4"/>
  <c r="BY241" i="4"/>
  <c r="AC14" i="4"/>
  <c r="AE14" i="4" s="1"/>
  <c r="BH238" i="4"/>
  <c r="BO253" i="4" s="1"/>
  <c r="CC241" i="4"/>
  <c r="BZ241" i="4"/>
  <c r="BK254" i="4"/>
  <c r="BM254" i="4"/>
  <c r="BM253" i="4" l="1"/>
  <c r="BR14" i="4"/>
  <c r="BS14" i="4" s="1"/>
  <c r="BQ14" i="4"/>
  <c r="CC240" i="4"/>
  <c r="BK253" i="4"/>
  <c r="BM14" i="4"/>
  <c r="BN14" i="4"/>
  <c r="BO14" i="4" s="1"/>
  <c r="CE241" i="4"/>
  <c r="CG241" i="4" s="1"/>
  <c r="BP254" i="4"/>
  <c r="BR254" i="4" s="1"/>
  <c r="BY240" i="4"/>
  <c r="CD241" i="4"/>
  <c r="CF241" i="4" s="1"/>
  <c r="BQ254" i="4"/>
  <c r="BS254" i="4" s="1"/>
  <c r="BN253" i="4"/>
  <c r="BJ253" i="4"/>
  <c r="CB240" i="4"/>
  <c r="BX240" i="4"/>
  <c r="CA240" i="4"/>
  <c r="BL253" i="4"/>
  <c r="BZ240" i="4"/>
  <c r="BW14" i="4" l="1"/>
  <c r="C14" i="4" s="1"/>
  <c r="BU14" i="4"/>
  <c r="K14" i="4" s="1"/>
  <c r="BU254" i="4"/>
  <c r="BW254" i="4" s="1"/>
  <c r="BT254" i="4"/>
  <c r="BV254" i="4" s="1"/>
  <c r="CI241" i="4"/>
  <c r="CK241" i="4" s="1"/>
  <c r="BI241" i="4" s="1"/>
  <c r="BX14" i="4"/>
  <c r="D14" i="4" s="1"/>
  <c r="BV14" i="4"/>
  <c r="L14" i="4" s="1"/>
  <c r="CD240" i="4"/>
  <c r="CF240" i="4" s="1"/>
  <c r="BQ253" i="4"/>
  <c r="BS253" i="4" s="1"/>
  <c r="BP253" i="4"/>
  <c r="BR253" i="4" s="1"/>
  <c r="CH241" i="4"/>
  <c r="CJ241" i="4" s="1"/>
  <c r="BH241" i="4" s="1"/>
  <c r="CE240" i="4"/>
  <c r="CG240" i="4" s="1"/>
  <c r="CA243" i="4" l="1"/>
  <c r="BL256" i="4"/>
  <c r="CB243" i="4"/>
  <c r="BX243" i="4"/>
  <c r="BN256" i="4"/>
  <c r="BJ256" i="4"/>
  <c r="BU253" i="4"/>
  <c r="BW253" i="4" s="1"/>
  <c r="BM256" i="4"/>
  <c r="BZ243" i="4"/>
  <c r="BO256" i="4"/>
  <c r="BK256" i="4"/>
  <c r="CC243" i="4"/>
  <c r="BY243" i="4"/>
  <c r="BT253" i="4"/>
  <c r="BV253" i="4" s="1"/>
  <c r="CI240" i="4"/>
  <c r="CK240" i="4" s="1"/>
  <c r="BI240" i="4" s="1"/>
  <c r="CH240" i="4"/>
  <c r="CJ240" i="4" s="1"/>
  <c r="AV15" i="4"/>
  <c r="T15" i="4"/>
  <c r="W15" i="4"/>
  <c r="N15" i="4"/>
  <c r="P16" i="4" s="1"/>
  <c r="R17" i="4" s="1"/>
  <c r="V15" i="4"/>
  <c r="AX15" i="4"/>
  <c r="AW15" i="4"/>
  <c r="U15" i="4"/>
  <c r="M15" i="4"/>
  <c r="O16" i="4" s="1"/>
  <c r="Q17" i="4" s="1"/>
  <c r="X15" i="4"/>
  <c r="AU15" i="4"/>
  <c r="S15" i="4"/>
  <c r="AK15" i="4"/>
  <c r="BF15" i="4"/>
  <c r="AI15" i="4"/>
  <c r="BD15" i="4"/>
  <c r="F15" i="4"/>
  <c r="AH15" i="4"/>
  <c r="BC15" i="4"/>
  <c r="AG15" i="4"/>
  <c r="E15" i="4"/>
  <c r="AJ15" i="4"/>
  <c r="BE15" i="4"/>
  <c r="AL15" i="4"/>
  <c r="BH240" i="4" l="1"/>
  <c r="BA15" i="4"/>
  <c r="BN255" i="4"/>
  <c r="BJ255" i="4"/>
  <c r="CB242" i="4"/>
  <c r="BX242" i="4"/>
  <c r="CA242" i="4"/>
  <c r="BL255" i="4"/>
  <c r="BO255" i="4"/>
  <c r="BK255" i="4"/>
  <c r="CC242" i="4"/>
  <c r="BY242" i="4"/>
  <c r="BM255" i="4"/>
  <c r="BZ242" i="4"/>
  <c r="G16" i="4"/>
  <c r="I17" i="4" s="1"/>
  <c r="BG16" i="4"/>
  <c r="BH16" i="4"/>
  <c r="H16" i="4"/>
  <c r="J17" i="4" s="1"/>
  <c r="BB15" i="4"/>
  <c r="BQ256" i="4"/>
  <c r="BS256" i="4" s="1"/>
  <c r="BP256" i="4"/>
  <c r="BR256" i="4" s="1"/>
  <c r="Z15" i="4"/>
  <c r="AB15" i="4" s="1"/>
  <c r="AM15" i="4"/>
  <c r="AO15" i="4" s="1"/>
  <c r="BJ15" i="4"/>
  <c r="BL15" i="4" s="1"/>
  <c r="Y15" i="4"/>
  <c r="AA15" i="4" s="1"/>
  <c r="AN15" i="4"/>
  <c r="AP15" i="4" s="1"/>
  <c r="BI15" i="4"/>
  <c r="BK15" i="4" s="1"/>
  <c r="CE243" i="4"/>
  <c r="CG243" i="4" s="1"/>
  <c r="CD243" i="4"/>
  <c r="CF243" i="4" s="1"/>
  <c r="AQ15" i="4" l="1"/>
  <c r="AS15" i="4" s="1"/>
  <c r="BU256" i="4"/>
  <c r="BW256" i="4" s="1"/>
  <c r="CH243" i="4"/>
  <c r="CJ243" i="4" s="1"/>
  <c r="BT256" i="4"/>
  <c r="BV256" i="4" s="1"/>
  <c r="CE242" i="4"/>
  <c r="CG242" i="4" s="1"/>
  <c r="BP255" i="4"/>
  <c r="BR255" i="4" s="1"/>
  <c r="AC15" i="4"/>
  <c r="AE15" i="4" s="1"/>
  <c r="CI243" i="4"/>
  <c r="CK243" i="4" s="1"/>
  <c r="BI243" i="4" s="1"/>
  <c r="AR15" i="4"/>
  <c r="AT15" i="4" s="1"/>
  <c r="AD15" i="4"/>
  <c r="AF15" i="4" s="1"/>
  <c r="BQ255" i="4"/>
  <c r="BS255" i="4" s="1"/>
  <c r="CD242" i="4"/>
  <c r="CF242" i="4" s="1"/>
  <c r="CH242" i="4" l="1"/>
  <c r="CJ242" i="4" s="1"/>
  <c r="BH242" i="4" s="1"/>
  <c r="BU255" i="4"/>
  <c r="BW255" i="4" s="1"/>
  <c r="BH243" i="4"/>
  <c r="BZ245" i="4" s="1"/>
  <c r="CI242" i="4"/>
  <c r="CK242" i="4" s="1"/>
  <c r="BI242" i="4" s="1"/>
  <c r="BR15" i="4"/>
  <c r="BS15" i="4" s="1"/>
  <c r="BQ15" i="4"/>
  <c r="BT255" i="4"/>
  <c r="BV255" i="4" s="1"/>
  <c r="BN15" i="4"/>
  <c r="BO15" i="4" s="1"/>
  <c r="BM15" i="4"/>
  <c r="BY245" i="4" l="1"/>
  <c r="BO258" i="4"/>
  <c r="BW15" i="4"/>
  <c r="C15" i="4" s="1"/>
  <c r="BU15" i="4"/>
  <c r="K15" i="4" s="1"/>
  <c r="BN257" i="4"/>
  <c r="BJ257" i="4"/>
  <c r="CB244" i="4"/>
  <c r="BX244" i="4"/>
  <c r="CA244" i="4"/>
  <c r="BL257" i="4"/>
  <c r="BO257" i="4"/>
  <c r="BK257" i="4"/>
  <c r="CC244" i="4"/>
  <c r="BY244" i="4"/>
  <c r="BM257" i="4"/>
  <c r="BZ244" i="4"/>
  <c r="CC245" i="4"/>
  <c r="BX15" i="4"/>
  <c r="D15" i="4" s="1"/>
  <c r="BV15" i="4"/>
  <c r="L15" i="4" s="1"/>
  <c r="CA245" i="4"/>
  <c r="BL258" i="4"/>
  <c r="BJ258" i="4"/>
  <c r="CB245" i="4"/>
  <c r="BX245" i="4"/>
  <c r="BN258" i="4"/>
  <c r="BK258" i="4"/>
  <c r="BM258" i="4"/>
  <c r="CE245" i="4" l="1"/>
  <c r="CG245" i="4" s="1"/>
  <c r="CI245" i="4" s="1"/>
  <c r="CK245" i="4" s="1"/>
  <c r="BI245" i="4" s="1"/>
  <c r="BP258" i="4"/>
  <c r="BR258" i="4" s="1"/>
  <c r="AI16" i="4"/>
  <c r="BD16" i="4"/>
  <c r="AH16" i="4"/>
  <c r="F16" i="4"/>
  <c r="AK16" i="4"/>
  <c r="BF16" i="4"/>
  <c r="CE244" i="4"/>
  <c r="CG244" i="4" s="1"/>
  <c r="CD244" i="4"/>
  <c r="CF244" i="4" s="1"/>
  <c r="BQ258" i="4"/>
  <c r="BS258" i="4"/>
  <c r="AU16" i="4"/>
  <c r="S16" i="4"/>
  <c r="AW16" i="4"/>
  <c r="U16" i="4"/>
  <c r="M16" i="4"/>
  <c r="O17" i="4" s="1"/>
  <c r="Q18" i="4" s="1"/>
  <c r="X16" i="4"/>
  <c r="CD245" i="4"/>
  <c r="CF245" i="4" s="1"/>
  <c r="W16" i="4"/>
  <c r="AX16" i="4"/>
  <c r="V16" i="4"/>
  <c r="N16" i="4"/>
  <c r="P17" i="4" s="1"/>
  <c r="R18" i="4" s="1"/>
  <c r="T16" i="4"/>
  <c r="AV16" i="4"/>
  <c r="BB16" i="4" s="1"/>
  <c r="BQ257" i="4"/>
  <c r="BS257" i="4" s="1"/>
  <c r="BP257" i="4"/>
  <c r="BR257" i="4" s="1"/>
  <c r="BE16" i="4"/>
  <c r="AL16" i="4"/>
  <c r="BC16" i="4"/>
  <c r="AG16" i="4"/>
  <c r="E16" i="4"/>
  <c r="AJ16" i="4"/>
  <c r="CH245" i="4" l="1"/>
  <c r="CJ245" i="4" s="1"/>
  <c r="BH245" i="4" s="1"/>
  <c r="BT257" i="4"/>
  <c r="BV257" i="4" s="1"/>
  <c r="CH244" i="4"/>
  <c r="CJ244" i="4" s="1"/>
  <c r="CI244" i="4"/>
  <c r="CK244" i="4" s="1"/>
  <c r="BI244" i="4" s="1"/>
  <c r="BU258" i="4"/>
  <c r="BW258" i="4" s="1"/>
  <c r="H17" i="4"/>
  <c r="J18" i="4" s="1"/>
  <c r="BH17" i="4"/>
  <c r="BT258" i="4"/>
  <c r="BV258" i="4" s="1"/>
  <c r="BU257" i="4"/>
  <c r="BW257" i="4" s="1"/>
  <c r="AN16" i="4"/>
  <c r="AP16" i="4" s="1"/>
  <c r="BG17" i="4"/>
  <c r="G17" i="4"/>
  <c r="I18" i="4" s="1"/>
  <c r="AM16" i="4"/>
  <c r="AO16" i="4" s="1"/>
  <c r="Y16" i="4"/>
  <c r="AA16" i="4" s="1"/>
  <c r="BJ16" i="4"/>
  <c r="BL16" i="4" s="1"/>
  <c r="BI16" i="4"/>
  <c r="BK16" i="4" s="1"/>
  <c r="Z16" i="4"/>
  <c r="AB16" i="4" s="1"/>
  <c r="BA16" i="4"/>
  <c r="AD16" i="4" l="1"/>
  <c r="AF16" i="4" s="1"/>
  <c r="AC16" i="4"/>
  <c r="AE16" i="4" s="1"/>
  <c r="AR16" i="4"/>
  <c r="AT16" i="4" s="1"/>
  <c r="BN260" i="4"/>
  <c r="CA247" i="4"/>
  <c r="BL260" i="4"/>
  <c r="BJ260" i="4"/>
  <c r="CB247" i="4"/>
  <c r="BX247" i="4"/>
  <c r="BK260" i="4"/>
  <c r="BO260" i="4"/>
  <c r="CC247" i="4"/>
  <c r="BM260" i="4"/>
  <c r="BY247" i="4"/>
  <c r="BZ247" i="4"/>
  <c r="AQ16" i="4"/>
  <c r="AS16" i="4"/>
  <c r="BH244" i="4"/>
  <c r="BK259" i="4" s="1"/>
  <c r="BR16" i="4" l="1"/>
  <c r="BS16" i="4" s="1"/>
  <c r="BQ16" i="4"/>
  <c r="BM16" i="4"/>
  <c r="BN16" i="4"/>
  <c r="BO16" i="4" s="1"/>
  <c r="CE247" i="4"/>
  <c r="CG247" i="4" s="1"/>
  <c r="BP260" i="4"/>
  <c r="BR260" i="4" s="1"/>
  <c r="BY246" i="4"/>
  <c r="CD247" i="4"/>
  <c r="CF247" i="4" s="1"/>
  <c r="BZ246" i="4"/>
  <c r="BN259" i="4"/>
  <c r="BJ259" i="4"/>
  <c r="CB246" i="4"/>
  <c r="BX246" i="4"/>
  <c r="CA246" i="4"/>
  <c r="BL259" i="4"/>
  <c r="BQ260" i="4"/>
  <c r="BS260" i="4" s="1"/>
  <c r="CC246" i="4"/>
  <c r="BM259" i="4"/>
  <c r="BQ259" i="4" s="1"/>
  <c r="BO259" i="4"/>
  <c r="BT260" i="4" l="1"/>
  <c r="BV260" i="4" s="1"/>
  <c r="BW16" i="4"/>
  <c r="C16" i="4" s="1"/>
  <c r="BU16" i="4"/>
  <c r="K16" i="4" s="1"/>
  <c r="BU260" i="4"/>
  <c r="BW260" i="4" s="1"/>
  <c r="CH247" i="4"/>
  <c r="CJ247" i="4" s="1"/>
  <c r="CI247" i="4"/>
  <c r="CK247" i="4" s="1"/>
  <c r="BI247" i="4" s="1"/>
  <c r="BS259" i="4"/>
  <c r="CE246" i="4"/>
  <c r="CG246" i="4" s="1"/>
  <c r="BP259" i="4"/>
  <c r="BR259" i="4" s="1"/>
  <c r="BX16" i="4"/>
  <c r="D16" i="4" s="1"/>
  <c r="BV16" i="4"/>
  <c r="L16" i="4" s="1"/>
  <c r="CD246" i="4"/>
  <c r="CF246" i="4" s="1"/>
  <c r="BH247" i="4" l="1"/>
  <c r="CI246" i="4"/>
  <c r="CK246" i="4" s="1"/>
  <c r="BI246" i="4" s="1"/>
  <c r="CH246" i="4"/>
  <c r="CJ246" i="4" s="1"/>
  <c r="BH246" i="4" s="1"/>
  <c r="BT259" i="4"/>
  <c r="BV259" i="4" s="1"/>
  <c r="BL262" i="4"/>
  <c r="BN262" i="4"/>
  <c r="BJ262" i="4"/>
  <c r="CA249" i="4"/>
  <c r="BX249" i="4"/>
  <c r="CB249" i="4"/>
  <c r="AK17" i="4"/>
  <c r="BF17" i="4"/>
  <c r="AI17" i="4"/>
  <c r="AH17" i="4"/>
  <c r="BD17" i="4"/>
  <c r="F17" i="4"/>
  <c r="AW17" i="4"/>
  <c r="U17" i="4"/>
  <c r="M17" i="4"/>
  <c r="O18" i="4" s="1"/>
  <c r="Q19" i="4" s="1"/>
  <c r="X17" i="4"/>
  <c r="AU17" i="4"/>
  <c r="BA17" i="4" s="1"/>
  <c r="S17" i="4"/>
  <c r="BU259" i="4"/>
  <c r="BW259" i="4" s="1"/>
  <c r="BC17" i="4"/>
  <c r="AG17" i="4"/>
  <c r="E17" i="4"/>
  <c r="AJ17" i="4"/>
  <c r="BE17" i="4"/>
  <c r="AL17" i="4"/>
  <c r="BO262" i="4"/>
  <c r="BK262" i="4"/>
  <c r="BM262" i="4"/>
  <c r="BZ249" i="4"/>
  <c r="CC249" i="4"/>
  <c r="BY249" i="4"/>
  <c r="AV17" i="4"/>
  <c r="T17" i="4"/>
  <c r="W17" i="4"/>
  <c r="AX17" i="4"/>
  <c r="N17" i="4"/>
  <c r="P18" i="4" s="1"/>
  <c r="R19" i="4" s="1"/>
  <c r="V17" i="4"/>
  <c r="BN261" i="4" l="1"/>
  <c r="BJ261" i="4"/>
  <c r="BL261" i="4"/>
  <c r="CB248" i="4"/>
  <c r="BX248" i="4"/>
  <c r="CA248" i="4"/>
  <c r="BM261" i="4"/>
  <c r="BO261" i="4"/>
  <c r="CC248" i="4"/>
  <c r="BY248" i="4"/>
  <c r="BK261" i="4"/>
  <c r="BZ248" i="4"/>
  <c r="CE249" i="4"/>
  <c r="CG249" i="4" s="1"/>
  <c r="BQ262" i="4"/>
  <c r="BS262" i="4" s="1"/>
  <c r="BI17" i="4"/>
  <c r="BK17" i="4" s="1"/>
  <c r="BP262" i="4"/>
  <c r="BR262" i="4" s="1"/>
  <c r="Z17" i="4"/>
  <c r="AB17" i="4" s="1"/>
  <c r="AM17" i="4"/>
  <c r="AO17" i="4" s="1"/>
  <c r="Y17" i="4"/>
  <c r="AA17" i="4" s="1"/>
  <c r="AN17" i="4"/>
  <c r="AP17" i="4" s="1"/>
  <c r="BH18" i="4"/>
  <c r="H18" i="4"/>
  <c r="J19" i="4" s="1"/>
  <c r="BB17" i="4"/>
  <c r="G18" i="4"/>
  <c r="I19" i="4" s="1"/>
  <c r="BG18" i="4"/>
  <c r="BJ17" i="4"/>
  <c r="BL17" i="4" s="1"/>
  <c r="CD249" i="4"/>
  <c r="CF249" i="4" s="1"/>
  <c r="AR17" i="4" l="1"/>
  <c r="AT17" i="4" s="1"/>
  <c r="CH249" i="4"/>
  <c r="CJ249" i="4" s="1"/>
  <c r="BT262" i="4"/>
  <c r="BV262" i="4" s="1"/>
  <c r="AQ17" i="4"/>
  <c r="AS17" i="4" s="1"/>
  <c r="BU262" i="4"/>
  <c r="BW262" i="4" s="1"/>
  <c r="AD17" i="4"/>
  <c r="AF17" i="4" s="1"/>
  <c r="CI249" i="4"/>
  <c r="CK249" i="4" s="1"/>
  <c r="BI249" i="4" s="1"/>
  <c r="AC17" i="4"/>
  <c r="AE17" i="4" s="1"/>
  <c r="CD248" i="4"/>
  <c r="CF248" i="4" s="1"/>
  <c r="BQ261" i="4"/>
  <c r="BS261" i="4" s="1"/>
  <c r="CE248" i="4"/>
  <c r="CG248" i="4" s="1"/>
  <c r="BP261" i="4"/>
  <c r="BR261" i="4" s="1"/>
  <c r="BN17" i="4" l="1"/>
  <c r="BO17" i="4" s="1"/>
  <c r="BM17" i="4"/>
  <c r="CH248" i="4"/>
  <c r="CJ248" i="4" s="1"/>
  <c r="BU261" i="4"/>
  <c r="BW261" i="4" s="1"/>
  <c r="CI248" i="4"/>
  <c r="CK248" i="4" s="1"/>
  <c r="BI248" i="4" s="1"/>
  <c r="BR17" i="4"/>
  <c r="BS17" i="4" s="1"/>
  <c r="BQ17" i="4"/>
  <c r="BT261" i="4"/>
  <c r="BV261" i="4" s="1"/>
  <c r="BH249" i="4"/>
  <c r="BL264" i="4" l="1"/>
  <c r="BN264" i="4"/>
  <c r="BJ264" i="4"/>
  <c r="CA251" i="4"/>
  <c r="CB251" i="4"/>
  <c r="BX251" i="4"/>
  <c r="CC251" i="4"/>
  <c r="BO264" i="4"/>
  <c r="BH248" i="4"/>
  <c r="CC250" i="4" s="1"/>
  <c r="BM264" i="4"/>
  <c r="BX17" i="4"/>
  <c r="D17" i="4" s="1"/>
  <c r="BV17" i="4"/>
  <c r="L17" i="4" s="1"/>
  <c r="BW17" i="4"/>
  <c r="C17" i="4" s="1"/>
  <c r="BU17" i="4"/>
  <c r="K17" i="4" s="1"/>
  <c r="BZ251" i="4"/>
  <c r="BY251" i="4"/>
  <c r="BK264" i="4"/>
  <c r="CE251" i="4" l="1"/>
  <c r="CG251" i="4" s="1"/>
  <c r="CD251" i="4"/>
  <c r="CF251" i="4" s="1"/>
  <c r="BO263" i="4"/>
  <c r="W18" i="4"/>
  <c r="AX18" i="4"/>
  <c r="V18" i="4"/>
  <c r="N18" i="4"/>
  <c r="P19" i="4" s="1"/>
  <c r="R20" i="4" s="1"/>
  <c r="T18" i="4"/>
  <c r="AV18" i="4"/>
  <c r="BB18" i="4" s="1"/>
  <c r="BY250" i="4"/>
  <c r="BE18" i="4"/>
  <c r="AL18" i="4"/>
  <c r="BC18" i="4"/>
  <c r="AG18" i="4"/>
  <c r="E18" i="4"/>
  <c r="AJ18" i="4"/>
  <c r="AI18" i="4"/>
  <c r="BD18" i="4"/>
  <c r="AH18" i="4"/>
  <c r="F18" i="4"/>
  <c r="AK18" i="4"/>
  <c r="BF18" i="4"/>
  <c r="BZ250" i="4"/>
  <c r="BN263" i="4"/>
  <c r="BJ263" i="4"/>
  <c r="BL263" i="4"/>
  <c r="CB250" i="4"/>
  <c r="BX250" i="4"/>
  <c r="CA250" i="4"/>
  <c r="BQ264" i="4"/>
  <c r="BS264" i="4" s="1"/>
  <c r="AU18" i="4"/>
  <c r="S18" i="4"/>
  <c r="AW18" i="4"/>
  <c r="U18" i="4"/>
  <c r="M18" i="4"/>
  <c r="O19" i="4" s="1"/>
  <c r="Q20" i="4" s="1"/>
  <c r="X18" i="4"/>
  <c r="BP264" i="4"/>
  <c r="BR264" i="4" s="1"/>
  <c r="BK263" i="4"/>
  <c r="BM263" i="4"/>
  <c r="BA18" i="4" l="1"/>
  <c r="BU264" i="4"/>
  <c r="BW264" i="4" s="1"/>
  <c r="CI251" i="4"/>
  <c r="CK251" i="4" s="1"/>
  <c r="BI251" i="4" s="1"/>
  <c r="BQ263" i="4"/>
  <c r="BS263" i="4" s="1"/>
  <c r="BJ18" i="4"/>
  <c r="BL18" i="4" s="1"/>
  <c r="AM18" i="4"/>
  <c r="AO18" i="4" s="1"/>
  <c r="CE250" i="4"/>
  <c r="CG250" i="4" s="1"/>
  <c r="CH251" i="4"/>
  <c r="CJ251" i="4" s="1"/>
  <c r="BH251" i="4" s="1"/>
  <c r="BP263" i="4"/>
  <c r="BR263" i="4" s="1"/>
  <c r="BT264" i="4"/>
  <c r="BV264" i="4" s="1"/>
  <c r="BI18" i="4"/>
  <c r="BK18" i="4" s="1"/>
  <c r="H19" i="4"/>
  <c r="J20" i="4" s="1"/>
  <c r="BH19" i="4"/>
  <c r="Z18" i="4"/>
  <c r="AB18" i="4" s="1"/>
  <c r="CD250" i="4"/>
  <c r="CF250" i="4" s="1"/>
  <c r="Y18" i="4"/>
  <c r="AA18" i="4" s="1"/>
  <c r="AN18" i="4"/>
  <c r="AP18" i="4" s="1"/>
  <c r="BG19" i="4"/>
  <c r="G19" i="4"/>
  <c r="I20" i="4" s="1"/>
  <c r="AR18" i="4" l="1"/>
  <c r="AT18" i="4" s="1"/>
  <c r="CH250" i="4"/>
  <c r="CJ250" i="4" s="1"/>
  <c r="CI250" i="4"/>
  <c r="CK250" i="4" s="1"/>
  <c r="BI250" i="4" s="1"/>
  <c r="AC18" i="4"/>
  <c r="AE18" i="4" s="1"/>
  <c r="AQ18" i="4"/>
  <c r="AS18" i="4" s="1"/>
  <c r="BT263" i="4"/>
  <c r="BV263" i="4" s="1"/>
  <c r="BO266" i="4"/>
  <c r="BK266" i="4"/>
  <c r="BZ253" i="4"/>
  <c r="CC253" i="4"/>
  <c r="BY253" i="4"/>
  <c r="BM266" i="4"/>
  <c r="BL266" i="4"/>
  <c r="BN266" i="4"/>
  <c r="BJ266" i="4"/>
  <c r="CA253" i="4"/>
  <c r="CB253" i="4"/>
  <c r="BX253" i="4"/>
  <c r="AD18" i="4"/>
  <c r="AF18" i="4" s="1"/>
  <c r="BU263" i="4"/>
  <c r="BW263" i="4" s="1"/>
  <c r="BH250" i="4" l="1"/>
  <c r="BZ252" i="4" s="1"/>
  <c r="BR18" i="4"/>
  <c r="BS18" i="4" s="1"/>
  <c r="BQ18" i="4"/>
  <c r="BM18" i="4"/>
  <c r="BN18" i="4"/>
  <c r="BO18" i="4" s="1"/>
  <c r="CD253" i="4"/>
  <c r="CF253" i="4" s="1"/>
  <c r="BQ266" i="4"/>
  <c r="BS266" i="4" s="1"/>
  <c r="CE253" i="4"/>
  <c r="CG253" i="4" s="1"/>
  <c r="BP266" i="4"/>
  <c r="BR266" i="4" s="1"/>
  <c r="BK265" i="4" l="1"/>
  <c r="CC252" i="4"/>
  <c r="BY252" i="4"/>
  <c r="CI253" i="4"/>
  <c r="CK253" i="4" s="1"/>
  <c r="BI253" i="4" s="1"/>
  <c r="BU266" i="4"/>
  <c r="BW266" i="4" s="1"/>
  <c r="CH253" i="4"/>
  <c r="CJ253" i="4" s="1"/>
  <c r="BH253" i="4" s="1"/>
  <c r="BT266" i="4"/>
  <c r="BV266" i="4" s="1"/>
  <c r="BW18" i="4"/>
  <c r="C18" i="4" s="1"/>
  <c r="BU18" i="4"/>
  <c r="K18" i="4" s="1"/>
  <c r="BX18" i="4"/>
  <c r="D18" i="4" s="1"/>
  <c r="BV18" i="4"/>
  <c r="L18" i="4" s="1"/>
  <c r="BN265" i="4"/>
  <c r="BJ265" i="4"/>
  <c r="BL265" i="4"/>
  <c r="CB252" i="4"/>
  <c r="BX252" i="4"/>
  <c r="CA252" i="4"/>
  <c r="CE252" i="4" s="1"/>
  <c r="BO265" i="4"/>
  <c r="BM265" i="4"/>
  <c r="BQ265" i="4" s="1"/>
  <c r="BS265" i="4" l="1"/>
  <c r="CG252" i="4"/>
  <c r="BL268" i="4"/>
  <c r="BN268" i="4"/>
  <c r="BJ268" i="4"/>
  <c r="CA255" i="4"/>
  <c r="CB255" i="4"/>
  <c r="BX255" i="4"/>
  <c r="CI252" i="4"/>
  <c r="CK252" i="4" s="1"/>
  <c r="BI252" i="4" s="1"/>
  <c r="BO268" i="4"/>
  <c r="BK268" i="4"/>
  <c r="BM268" i="4"/>
  <c r="BZ255" i="4"/>
  <c r="CC255" i="4"/>
  <c r="BY255" i="4"/>
  <c r="AK19" i="4"/>
  <c r="BF19" i="4"/>
  <c r="AI19" i="4"/>
  <c r="BD19" i="4"/>
  <c r="F19" i="4"/>
  <c r="AH19" i="4"/>
  <c r="BC19" i="4"/>
  <c r="AG19" i="4"/>
  <c r="E19" i="4"/>
  <c r="AJ19" i="4"/>
  <c r="BE19" i="4"/>
  <c r="AL19" i="4"/>
  <c r="BU265" i="4"/>
  <c r="BW265" i="4" s="1"/>
  <c r="BP265" i="4"/>
  <c r="BR265" i="4" s="1"/>
  <c r="CD252" i="4"/>
  <c r="CF252" i="4" s="1"/>
  <c r="AV19" i="4"/>
  <c r="T19" i="4"/>
  <c r="W19" i="4"/>
  <c r="V19" i="4"/>
  <c r="AX19" i="4"/>
  <c r="N19" i="4"/>
  <c r="P20" i="4" s="1"/>
  <c r="R21" i="4" s="1"/>
  <c r="AW19" i="4"/>
  <c r="U19" i="4"/>
  <c r="M19" i="4"/>
  <c r="O20" i="4" s="1"/>
  <c r="Q21" i="4" s="1"/>
  <c r="X19" i="4"/>
  <c r="AU19" i="4"/>
  <c r="S19" i="4"/>
  <c r="BA19" i="4" l="1"/>
  <c r="G20" i="4"/>
  <c r="I21" i="4" s="1"/>
  <c r="BG20" i="4"/>
  <c r="BH20" i="4"/>
  <c r="H20" i="4"/>
  <c r="J21" i="4" s="1"/>
  <c r="BP268" i="4"/>
  <c r="BR268" i="4" s="1"/>
  <c r="Z19" i="4"/>
  <c r="AB19" i="4" s="1"/>
  <c r="AM19" i="4"/>
  <c r="AO19" i="4" s="1"/>
  <c r="BJ19" i="4"/>
  <c r="BL19" i="4" s="1"/>
  <c r="CD255" i="4"/>
  <c r="CF255" i="4" s="1"/>
  <c r="CH252" i="4"/>
  <c r="CJ252" i="4" s="1"/>
  <c r="BH252" i="4" s="1"/>
  <c r="BB19" i="4"/>
  <c r="BT265" i="4"/>
  <c r="BV265" i="4" s="1"/>
  <c r="BI19" i="4"/>
  <c r="BK19" i="4" s="1"/>
  <c r="CE255" i="4"/>
  <c r="CG255" i="4" s="1"/>
  <c r="BQ268" i="4"/>
  <c r="BS268" i="4" s="1"/>
  <c r="Y19" i="4"/>
  <c r="AA19" i="4" s="1"/>
  <c r="AN19" i="4"/>
  <c r="AP19" i="4" s="1"/>
  <c r="AR19" i="4" l="1"/>
  <c r="AT19" i="4" s="1"/>
  <c r="AD19" i="4"/>
  <c r="AF19" i="4" s="1"/>
  <c r="BN267" i="4"/>
  <c r="BJ267" i="4"/>
  <c r="BL267" i="4"/>
  <c r="CB254" i="4"/>
  <c r="BX254" i="4"/>
  <c r="CA254" i="4"/>
  <c r="BM267" i="4"/>
  <c r="BK267" i="4"/>
  <c r="BZ254" i="4"/>
  <c r="CC254" i="4"/>
  <c r="BO267" i="4"/>
  <c r="BY254" i="4"/>
  <c r="BU268" i="4"/>
  <c r="BW268" i="4" s="1"/>
  <c r="CH255" i="4"/>
  <c r="CJ255" i="4" s="1"/>
  <c r="AC19" i="4"/>
  <c r="AE19" i="4" s="1"/>
  <c r="CI255" i="4"/>
  <c r="CK255" i="4" s="1"/>
  <c r="BI255" i="4" s="1"/>
  <c r="BT268" i="4"/>
  <c r="BV268" i="4" s="1"/>
  <c r="AQ19" i="4"/>
  <c r="AS19" i="4" s="1"/>
  <c r="BH255" i="4" l="1"/>
  <c r="BO270" i="4" s="1"/>
  <c r="BR19" i="4"/>
  <c r="BS19" i="4" s="1"/>
  <c r="BQ19" i="4"/>
  <c r="BP267" i="4"/>
  <c r="BR267" i="4" s="1"/>
  <c r="BN19" i="4"/>
  <c r="BO19" i="4" s="1"/>
  <c r="BM19" i="4"/>
  <c r="CE254" i="4"/>
  <c r="CG254" i="4" s="1"/>
  <c r="BQ267" i="4"/>
  <c r="BS267" i="4" s="1"/>
  <c r="CD254" i="4"/>
  <c r="CF254" i="4" s="1"/>
  <c r="BM270" i="4" l="1"/>
  <c r="BW19" i="4"/>
  <c r="C19" i="4" s="1"/>
  <c r="BU19" i="4"/>
  <c r="K19" i="4" s="1"/>
  <c r="BT267" i="4"/>
  <c r="BV267" i="4" s="1"/>
  <c r="CH254" i="4"/>
  <c r="CJ254" i="4" s="1"/>
  <c r="BU267" i="4"/>
  <c r="BW267" i="4" s="1"/>
  <c r="CI254" i="4"/>
  <c r="CK254" i="4" s="1"/>
  <c r="BI254" i="4" s="1"/>
  <c r="BX19" i="4"/>
  <c r="D19" i="4" s="1"/>
  <c r="BV19" i="4"/>
  <c r="L19" i="4" s="1"/>
  <c r="BY257" i="4"/>
  <c r="BK270" i="4"/>
  <c r="CC257" i="4"/>
  <c r="BN270" i="4"/>
  <c r="BJ270" i="4"/>
  <c r="BL270" i="4"/>
  <c r="CA257" i="4"/>
  <c r="BX257" i="4"/>
  <c r="CB257" i="4"/>
  <c r="BZ257" i="4"/>
  <c r="BH254" i="4" l="1"/>
  <c r="BM269" i="4"/>
  <c r="BO269" i="4"/>
  <c r="BK269" i="4"/>
  <c r="CC256" i="4"/>
  <c r="BY256" i="4"/>
  <c r="BZ256" i="4"/>
  <c r="BL269" i="4"/>
  <c r="BN269" i="4"/>
  <c r="BJ269" i="4"/>
  <c r="CB256" i="4"/>
  <c r="BX256" i="4"/>
  <c r="CA256" i="4"/>
  <c r="AI20" i="4"/>
  <c r="BD20" i="4"/>
  <c r="AH20" i="4"/>
  <c r="F20" i="4"/>
  <c r="AK20" i="4"/>
  <c r="BF20" i="4"/>
  <c r="AU20" i="4"/>
  <c r="S20" i="4"/>
  <c r="AW20" i="4"/>
  <c r="U20" i="4"/>
  <c r="M20" i="4"/>
  <c r="O21" i="4" s="1"/>
  <c r="Q22" i="4" s="1"/>
  <c r="X20" i="4"/>
  <c r="W20" i="4"/>
  <c r="AX20" i="4"/>
  <c r="V20" i="4"/>
  <c r="N20" i="4"/>
  <c r="P21" i="4" s="1"/>
  <c r="R22" i="4" s="1"/>
  <c r="AV20" i="4"/>
  <c r="T20" i="4"/>
  <c r="BP270" i="4"/>
  <c r="BR270" i="4" s="1"/>
  <c r="BQ270" i="4"/>
  <c r="BS270" i="4" s="1"/>
  <c r="CD257" i="4"/>
  <c r="CF257" i="4" s="1"/>
  <c r="CE257" i="4"/>
  <c r="CG257" i="4" s="1"/>
  <c r="BE20" i="4"/>
  <c r="AL20" i="4"/>
  <c r="BC20" i="4"/>
  <c r="AG20" i="4"/>
  <c r="E20" i="4"/>
  <c r="AJ20" i="4"/>
  <c r="CH257" i="4" l="1"/>
  <c r="CJ257" i="4" s="1"/>
  <c r="BU270" i="4"/>
  <c r="BW270" i="4" s="1"/>
  <c r="BJ20" i="4"/>
  <c r="BL20" i="4" s="1"/>
  <c r="BQ269" i="4"/>
  <c r="BS269" i="4" s="1"/>
  <c r="Z20" i="4"/>
  <c r="AB20" i="4" s="1"/>
  <c r="BB20" i="4"/>
  <c r="BP269" i="4"/>
  <c r="BR269" i="4" s="1"/>
  <c r="BI20" i="4"/>
  <c r="BK20" i="4" s="1"/>
  <c r="Y20" i="4"/>
  <c r="AA20" i="4" s="1"/>
  <c r="H21" i="4"/>
  <c r="J22" i="4" s="1"/>
  <c r="BH21" i="4"/>
  <c r="CD256" i="4"/>
  <c r="CF256" i="4" s="1"/>
  <c r="CE256" i="4"/>
  <c r="CG256" i="4" s="1"/>
  <c r="AM20" i="4"/>
  <c r="AO20" i="4" s="1"/>
  <c r="CI257" i="4"/>
  <c r="CK257" i="4" s="1"/>
  <c r="BI257" i="4" s="1"/>
  <c r="BG21" i="4"/>
  <c r="G21" i="4"/>
  <c r="I22" i="4" s="1"/>
  <c r="BT270" i="4"/>
  <c r="BV270" i="4" s="1"/>
  <c r="BA20" i="4"/>
  <c r="AN20" i="4"/>
  <c r="AP20" i="4" s="1"/>
  <c r="CI256" i="4" l="1"/>
  <c r="CK256" i="4" s="1"/>
  <c r="BI256" i="4" s="1"/>
  <c r="AR20" i="4"/>
  <c r="AT20" i="4" s="1"/>
  <c r="CH256" i="4"/>
  <c r="CJ256" i="4" s="1"/>
  <c r="BH256" i="4" s="1"/>
  <c r="AD20" i="4"/>
  <c r="AF20" i="4" s="1"/>
  <c r="AQ20" i="4"/>
  <c r="AS20" i="4" s="1"/>
  <c r="BT269" i="4"/>
  <c r="BV269" i="4" s="1"/>
  <c r="BH257" i="4"/>
  <c r="BK272" i="4" s="1"/>
  <c r="BU269" i="4"/>
  <c r="BW269" i="4" s="1"/>
  <c r="AC20" i="4"/>
  <c r="AE20" i="4" s="1"/>
  <c r="BN20" i="4" l="1"/>
  <c r="BM20" i="4"/>
  <c r="BL271" i="4"/>
  <c r="BN271" i="4"/>
  <c r="BJ271" i="4"/>
  <c r="CB258" i="4"/>
  <c r="BX258" i="4"/>
  <c r="CA258" i="4"/>
  <c r="BR20" i="4"/>
  <c r="BQ20" i="4"/>
  <c r="BS20" i="4"/>
  <c r="BM271" i="4"/>
  <c r="BO271" i="4"/>
  <c r="BK271" i="4"/>
  <c r="CC258" i="4"/>
  <c r="BY258" i="4"/>
  <c r="BZ258" i="4"/>
  <c r="BO20" i="4"/>
  <c r="BM272" i="4"/>
  <c r="BY259" i="4"/>
  <c r="BN272" i="4"/>
  <c r="BJ272" i="4"/>
  <c r="BL272" i="4"/>
  <c r="CA259" i="4"/>
  <c r="CB259" i="4"/>
  <c r="BX259" i="4"/>
  <c r="CC259" i="4"/>
  <c r="BO272" i="4"/>
  <c r="BZ259" i="4"/>
  <c r="BQ271" i="4" l="1"/>
  <c r="BS271" i="4" s="1"/>
  <c r="BP271" i="4"/>
  <c r="BR271" i="4" s="1"/>
  <c r="CE259" i="4"/>
  <c r="CG259" i="4" s="1"/>
  <c r="BP272" i="4"/>
  <c r="BR272" i="4" s="1"/>
  <c r="CE258" i="4"/>
  <c r="CG258" i="4" s="1"/>
  <c r="CD258" i="4"/>
  <c r="CF258" i="4" s="1"/>
  <c r="BQ272" i="4"/>
  <c r="BS272" i="4" s="1"/>
  <c r="CD259" i="4"/>
  <c r="CF259" i="4" s="1"/>
  <c r="BW20" i="4"/>
  <c r="C20" i="4" s="1"/>
  <c r="BU20" i="4"/>
  <c r="K20" i="4" s="1"/>
  <c r="BX20" i="4"/>
  <c r="D20" i="4" s="1"/>
  <c r="BV20" i="4"/>
  <c r="L20" i="4" s="1"/>
  <c r="CI259" i="4" l="1"/>
  <c r="CK259" i="4" s="1"/>
  <c r="BI259" i="4" s="1"/>
  <c r="BT271" i="4"/>
  <c r="BV271" i="4" s="1"/>
  <c r="CH258" i="4"/>
  <c r="CJ258" i="4" s="1"/>
  <c r="CH259" i="4"/>
  <c r="CJ259" i="4" s="1"/>
  <c r="BH259" i="4" s="1"/>
  <c r="BU272" i="4"/>
  <c r="BW272" i="4" s="1"/>
  <c r="BU271" i="4"/>
  <c r="BW271" i="4" s="1"/>
  <c r="CI258" i="4"/>
  <c r="CK258" i="4" s="1"/>
  <c r="BI258" i="4" s="1"/>
  <c r="BC21" i="4"/>
  <c r="AG21" i="4"/>
  <c r="E21" i="4"/>
  <c r="AJ21" i="4"/>
  <c r="BE21" i="4"/>
  <c r="AL21" i="4"/>
  <c r="AV21" i="4"/>
  <c r="T21" i="4"/>
  <c r="W21" i="4"/>
  <c r="V21" i="4"/>
  <c r="AX21" i="4"/>
  <c r="N21" i="4"/>
  <c r="P22" i="4" s="1"/>
  <c r="R23" i="4" s="1"/>
  <c r="BT272" i="4"/>
  <c r="BV272" i="4" s="1"/>
  <c r="AK21" i="4"/>
  <c r="BF21" i="4"/>
  <c r="AI21" i="4"/>
  <c r="BD21" i="4"/>
  <c r="F21" i="4"/>
  <c r="AH21" i="4"/>
  <c r="AW21" i="4"/>
  <c r="U21" i="4"/>
  <c r="M21" i="4"/>
  <c r="O22" i="4" s="1"/>
  <c r="Q23" i="4" s="1"/>
  <c r="X21" i="4"/>
  <c r="AU21" i="4"/>
  <c r="BA21" i="4" s="1"/>
  <c r="S21" i="4"/>
  <c r="BN274" i="4" l="1"/>
  <c r="BJ274" i="4"/>
  <c r="CB261" i="4"/>
  <c r="BX261" i="4"/>
  <c r="CA261" i="4"/>
  <c r="BL274" i="4"/>
  <c r="BO274" i="4"/>
  <c r="BK274" i="4"/>
  <c r="BM274" i="4"/>
  <c r="BZ261" i="4"/>
  <c r="CC261" i="4"/>
  <c r="BY261" i="4"/>
  <c r="Y21" i="4"/>
  <c r="AA21" i="4" s="1"/>
  <c r="BJ21" i="4"/>
  <c r="BL21" i="4" s="1"/>
  <c r="AM21" i="4"/>
  <c r="AO21" i="4" s="1"/>
  <c r="BI21" i="4"/>
  <c r="BK21" i="4" s="1"/>
  <c r="AN21" i="4"/>
  <c r="AP21" i="4" s="1"/>
  <c r="Z21" i="4"/>
  <c r="AB21" i="4" s="1"/>
  <c r="BH22" i="4"/>
  <c r="H22" i="4"/>
  <c r="J23" i="4" s="1"/>
  <c r="BB21" i="4"/>
  <c r="G22" i="4"/>
  <c r="I23" i="4" s="1"/>
  <c r="BG22" i="4"/>
  <c r="BH258" i="4"/>
  <c r="BO273" i="4" s="1"/>
  <c r="AR21" i="4" l="1"/>
  <c r="AT21" i="4" s="1"/>
  <c r="AC21" i="4"/>
  <c r="AE21" i="4" s="1"/>
  <c r="CD261" i="4"/>
  <c r="CF261" i="4" s="1"/>
  <c r="BY260" i="4"/>
  <c r="BL273" i="4"/>
  <c r="CB260" i="4"/>
  <c r="BX260" i="4"/>
  <c r="CA260" i="4"/>
  <c r="BN273" i="4"/>
  <c r="BJ273" i="4"/>
  <c r="CC260" i="4"/>
  <c r="AD21" i="4"/>
  <c r="AF21" i="4" s="1"/>
  <c r="CE261" i="4"/>
  <c r="CG261" i="4" s="1"/>
  <c r="BQ274" i="4"/>
  <c r="BS274" i="4" s="1"/>
  <c r="BP274" i="4"/>
  <c r="BR274" i="4" s="1"/>
  <c r="BZ260" i="4"/>
  <c r="BM273" i="4"/>
  <c r="AQ21" i="4"/>
  <c r="AS21" i="4" s="1"/>
  <c r="BK273" i="4"/>
  <c r="CH261" i="4" l="1"/>
  <c r="CJ261" i="4" s="1"/>
  <c r="BU274" i="4"/>
  <c r="BW274" i="4" s="1"/>
  <c r="BT274" i="4"/>
  <c r="BV274" i="4" s="1"/>
  <c r="BR21" i="4"/>
  <c r="BS21" i="4" s="1"/>
  <c r="BQ21" i="4"/>
  <c r="CI261" i="4"/>
  <c r="CK261" i="4" s="1"/>
  <c r="BI261" i="4" s="1"/>
  <c r="BQ273" i="4"/>
  <c r="BS273" i="4" s="1"/>
  <c r="BN21" i="4"/>
  <c r="BO21" i="4" s="1"/>
  <c r="BM21" i="4"/>
  <c r="CD260" i="4"/>
  <c r="CF260" i="4" s="1"/>
  <c r="CE260" i="4"/>
  <c r="CG260" i="4" s="1"/>
  <c r="BP273" i="4"/>
  <c r="BR273" i="4" s="1"/>
  <c r="BU273" i="4" l="1"/>
  <c r="BW273" i="4" s="1"/>
  <c r="BT273" i="4"/>
  <c r="BV273" i="4" s="1"/>
  <c r="BH261" i="4"/>
  <c r="BZ263" i="4" s="1"/>
  <c r="CH260" i="4"/>
  <c r="CJ260" i="4" s="1"/>
  <c r="CI260" i="4"/>
  <c r="CK260" i="4" s="1"/>
  <c r="BI260" i="4" s="1"/>
  <c r="BX21" i="4"/>
  <c r="D21" i="4" s="1"/>
  <c r="BV21" i="4"/>
  <c r="L21" i="4" s="1"/>
  <c r="BW21" i="4"/>
  <c r="C21" i="4" s="1"/>
  <c r="BU21" i="4"/>
  <c r="K21" i="4" s="1"/>
  <c r="BH260" i="4" l="1"/>
  <c r="CB262" i="4" s="1"/>
  <c r="BX262" i="4"/>
  <c r="CA262" i="4"/>
  <c r="BO275" i="4"/>
  <c r="BK275" i="4"/>
  <c r="BZ262" i="4"/>
  <c r="BY262" i="4"/>
  <c r="CC263" i="4"/>
  <c r="BO276" i="4"/>
  <c r="AI22" i="4"/>
  <c r="BD22" i="4"/>
  <c r="AH22" i="4"/>
  <c r="F22" i="4"/>
  <c r="AK22" i="4"/>
  <c r="BF22" i="4"/>
  <c r="AU22" i="4"/>
  <c r="S22" i="4"/>
  <c r="AW22" i="4"/>
  <c r="U22" i="4"/>
  <c r="M22" i="4"/>
  <c r="O23" i="4" s="1"/>
  <c r="Q24" i="4" s="1"/>
  <c r="X22" i="4"/>
  <c r="BN276" i="4"/>
  <c r="BJ276" i="4"/>
  <c r="BL276" i="4"/>
  <c r="CB263" i="4"/>
  <c r="BX263" i="4"/>
  <c r="CA263" i="4"/>
  <c r="BM276" i="4"/>
  <c r="BY263" i="4"/>
  <c r="BK276" i="4"/>
  <c r="BE22" i="4"/>
  <c r="AL22" i="4"/>
  <c r="BC22" i="4"/>
  <c r="AG22" i="4"/>
  <c r="E22" i="4"/>
  <c r="AJ22" i="4"/>
  <c r="W22" i="4"/>
  <c r="AX22" i="4"/>
  <c r="V22" i="4"/>
  <c r="N22" i="4"/>
  <c r="P23" i="4" s="1"/>
  <c r="R24" i="4" s="1"/>
  <c r="T22" i="4"/>
  <c r="AV22" i="4"/>
  <c r="BA22" i="4" l="1"/>
  <c r="BJ275" i="4"/>
  <c r="BN275" i="4"/>
  <c r="BL275" i="4"/>
  <c r="CC262" i="4"/>
  <c r="BM275" i="4"/>
  <c r="BQ275" i="4" s="1"/>
  <c r="BS275" i="4" s="1"/>
  <c r="BI22" i="4"/>
  <c r="BK22" i="4" s="1"/>
  <c r="CE263" i="4"/>
  <c r="CG263" i="4" s="1"/>
  <c r="CD263" i="4"/>
  <c r="CF263" i="4" s="1"/>
  <c r="BG23" i="4"/>
  <c r="G23" i="4"/>
  <c r="I24" i="4" s="1"/>
  <c r="Y22" i="4"/>
  <c r="AA22" i="4" s="1"/>
  <c r="H23" i="4"/>
  <c r="J24" i="4" s="1"/>
  <c r="BH23" i="4"/>
  <c r="CE262" i="4"/>
  <c r="CG262" i="4" s="1"/>
  <c r="CD262" i="4"/>
  <c r="CF262" i="4" s="1"/>
  <c r="BB22" i="4"/>
  <c r="AM22" i="4"/>
  <c r="AO22" i="4" s="1"/>
  <c r="BP276" i="4"/>
  <c r="BR276" i="4" s="1"/>
  <c r="AN22" i="4"/>
  <c r="AP22" i="4" s="1"/>
  <c r="BQ276" i="4"/>
  <c r="BS276" i="4" s="1"/>
  <c r="Z22" i="4"/>
  <c r="AB22" i="4" s="1"/>
  <c r="BJ22" i="4"/>
  <c r="BL22" i="4" s="1"/>
  <c r="BP275" i="4"/>
  <c r="BR275" i="4" s="1"/>
  <c r="AR22" i="4" l="1"/>
  <c r="AT22" i="4" s="1"/>
  <c r="CH262" i="4"/>
  <c r="CJ262" i="4" s="1"/>
  <c r="CH263" i="4"/>
  <c r="CJ263" i="4" s="1"/>
  <c r="BT276" i="4"/>
  <c r="BV276" i="4" s="1"/>
  <c r="CI262" i="4"/>
  <c r="CK262" i="4" s="1"/>
  <c r="BI262" i="4" s="1"/>
  <c r="CI263" i="4"/>
  <c r="CK263" i="4" s="1"/>
  <c r="BI263" i="4" s="1"/>
  <c r="AQ22" i="4"/>
  <c r="AS22" i="4" s="1"/>
  <c r="BU276" i="4"/>
  <c r="BW276" i="4" s="1"/>
  <c r="BU275" i="4"/>
  <c r="BW275" i="4" s="1"/>
  <c r="BT275" i="4"/>
  <c r="BV275" i="4" s="1"/>
  <c r="AD22" i="4"/>
  <c r="AF22" i="4" s="1"/>
  <c r="AC22" i="4"/>
  <c r="AE22" i="4" s="1"/>
  <c r="BM22" i="4" l="1"/>
  <c r="BN22" i="4"/>
  <c r="BO22" i="4" s="1"/>
  <c r="BH262" i="4"/>
  <c r="BK277" i="4" s="1"/>
  <c r="BR22" i="4"/>
  <c r="BS22" i="4" s="1"/>
  <c r="BQ22" i="4"/>
  <c r="BH263" i="4"/>
  <c r="BW22" i="4" l="1"/>
  <c r="C22" i="4" s="1"/>
  <c r="BU22" i="4"/>
  <c r="K22" i="4" s="1"/>
  <c r="BN278" i="4"/>
  <c r="BJ278" i="4"/>
  <c r="BL278" i="4"/>
  <c r="CB265" i="4"/>
  <c r="BX265" i="4"/>
  <c r="CA265" i="4"/>
  <c r="BZ265" i="4"/>
  <c r="BL277" i="4"/>
  <c r="BN277" i="4"/>
  <c r="CB264" i="4"/>
  <c r="BX264" i="4"/>
  <c r="BJ277" i="4"/>
  <c r="CA264" i="4"/>
  <c r="BZ264" i="4"/>
  <c r="CC265" i="4"/>
  <c r="BO278" i="4"/>
  <c r="BY264" i="4"/>
  <c r="BO277" i="4"/>
  <c r="BM278" i="4"/>
  <c r="CC264" i="4"/>
  <c r="BY265" i="4"/>
  <c r="BK278" i="4"/>
  <c r="BM277" i="4"/>
  <c r="BQ277" i="4" s="1"/>
  <c r="BX22" i="4"/>
  <c r="D22" i="4" s="1"/>
  <c r="BV22" i="4"/>
  <c r="L22" i="4" s="1"/>
  <c r="AK23" i="4" l="1"/>
  <c r="BF23" i="4"/>
  <c r="AI23" i="4"/>
  <c r="BD23" i="4"/>
  <c r="F23" i="4"/>
  <c r="AH23" i="4"/>
  <c r="AW23" i="4"/>
  <c r="U23" i="4"/>
  <c r="M23" i="4"/>
  <c r="O24" i="4" s="1"/>
  <c r="Q25" i="4" s="1"/>
  <c r="X23" i="4"/>
  <c r="AU23" i="4"/>
  <c r="BA23" i="4" s="1"/>
  <c r="S23" i="4"/>
  <c r="BP278" i="4"/>
  <c r="BR278" i="4" s="1"/>
  <c r="BC23" i="4"/>
  <c r="AG23" i="4"/>
  <c r="E23" i="4"/>
  <c r="AJ23" i="4"/>
  <c r="BE23" i="4"/>
  <c r="AL23" i="4"/>
  <c r="BQ278" i="4"/>
  <c r="BS278" i="4" s="1"/>
  <c r="BP277" i="4"/>
  <c r="BR277" i="4" s="1"/>
  <c r="CD265" i="4"/>
  <c r="CF265" i="4" s="1"/>
  <c r="BS277" i="4"/>
  <c r="AV23" i="4"/>
  <c r="T23" i="4"/>
  <c r="W23" i="4"/>
  <c r="N23" i="4"/>
  <c r="P24" i="4" s="1"/>
  <c r="R25" i="4" s="1"/>
  <c r="V23" i="4"/>
  <c r="AX23" i="4"/>
  <c r="CE265" i="4"/>
  <c r="CG265" i="4" s="1"/>
  <c r="CE264" i="4"/>
  <c r="CG264" i="4" s="1"/>
  <c r="CD264" i="4"/>
  <c r="CF264" i="4" s="1"/>
  <c r="BB23" i="4" l="1"/>
  <c r="BU278" i="4"/>
  <c r="BW278" i="4" s="1"/>
  <c r="CI265" i="4"/>
  <c r="CK265" i="4" s="1"/>
  <c r="BI265" i="4" s="1"/>
  <c r="CI264" i="4"/>
  <c r="CK264" i="4" s="1"/>
  <c r="BI264" i="4" s="1"/>
  <c r="CH264" i="4"/>
  <c r="CJ264" i="4" s="1"/>
  <c r="BT277" i="4"/>
  <c r="BV277" i="4" s="1"/>
  <c r="BT278" i="4"/>
  <c r="BV278" i="4" s="1"/>
  <c r="AM23" i="4"/>
  <c r="AO23" i="4" s="1"/>
  <c r="Y23" i="4"/>
  <c r="AA23" i="4" s="1"/>
  <c r="BJ23" i="4"/>
  <c r="BL23" i="4" s="1"/>
  <c r="BI23" i="4"/>
  <c r="BK23" i="4" s="1"/>
  <c r="CH265" i="4"/>
  <c r="CJ265" i="4" s="1"/>
  <c r="BH265" i="4" s="1"/>
  <c r="AN23" i="4"/>
  <c r="AP23" i="4" s="1"/>
  <c r="BU277" i="4"/>
  <c r="BW277" i="4" s="1"/>
  <c r="Z23" i="4"/>
  <c r="AB23" i="4" s="1"/>
  <c r="G24" i="4"/>
  <c r="I25" i="4" s="1"/>
  <c r="BG24" i="4"/>
  <c r="BH24" i="4"/>
  <c r="H24" i="4"/>
  <c r="J25" i="4" s="1"/>
  <c r="BH264" i="4" l="1"/>
  <c r="CB266" i="4" s="1"/>
  <c r="CB267" i="4"/>
  <c r="BX267" i="4"/>
  <c r="CA267" i="4"/>
  <c r="AQ23" i="4"/>
  <c r="AS23" i="4" s="1"/>
  <c r="BZ267" i="4"/>
  <c r="CC267" i="4"/>
  <c r="BY267" i="4"/>
  <c r="BL279" i="4"/>
  <c r="CA266" i="4"/>
  <c r="AC23" i="4"/>
  <c r="AE23" i="4" s="1"/>
  <c r="AR23" i="4"/>
  <c r="AT23" i="4" s="1"/>
  <c r="BK279" i="4"/>
  <c r="BZ266" i="4"/>
  <c r="CC266" i="4"/>
  <c r="AD23" i="4"/>
  <c r="AF23" i="4" s="1"/>
  <c r="BN279" i="4" l="1"/>
  <c r="BO279" i="4"/>
  <c r="BX266" i="4"/>
  <c r="CD266" i="4" s="1"/>
  <c r="CF266" i="4" s="1"/>
  <c r="BY266" i="4"/>
  <c r="BM279" i="4"/>
  <c r="BQ279" i="4" s="1"/>
  <c r="BS279" i="4" s="1"/>
  <c r="BJ279" i="4"/>
  <c r="BM23" i="4"/>
  <c r="BN23" i="4"/>
  <c r="BO23" i="4" s="1"/>
  <c r="BP279" i="4"/>
  <c r="BR279" i="4" s="1"/>
  <c r="BR23" i="4"/>
  <c r="BS23" i="4" s="1"/>
  <c r="BQ23" i="4"/>
  <c r="CE266" i="4"/>
  <c r="CG266" i="4" s="1"/>
  <c r="CE267" i="4"/>
  <c r="CG267" i="4" s="1"/>
  <c r="CD267" i="4"/>
  <c r="CF267" i="4" s="1"/>
  <c r="CH266" i="4" l="1"/>
  <c r="CJ266" i="4" s="1"/>
  <c r="CH267" i="4"/>
  <c r="CJ267" i="4" s="1"/>
  <c r="BT279" i="4"/>
  <c r="BV279" i="4" s="1"/>
  <c r="BU279" i="4"/>
  <c r="BW279" i="4" s="1"/>
  <c r="CI266" i="4"/>
  <c r="CK266" i="4" s="1"/>
  <c r="BI266" i="4" s="1"/>
  <c r="BW23" i="4"/>
  <c r="C23" i="4" s="1"/>
  <c r="BU23" i="4"/>
  <c r="K23" i="4" s="1"/>
  <c r="CI267" i="4"/>
  <c r="CK267" i="4" s="1"/>
  <c r="BI267" i="4" s="1"/>
  <c r="BX23" i="4"/>
  <c r="D23" i="4" s="1"/>
  <c r="BV23" i="4"/>
  <c r="L23" i="4" s="1"/>
  <c r="BH267" i="4" l="1"/>
  <c r="BZ269" i="4" s="1"/>
  <c r="BH266" i="4"/>
  <c r="BZ268" i="4" s="1"/>
  <c r="AI24" i="4"/>
  <c r="BD24" i="4"/>
  <c r="AH24" i="4"/>
  <c r="F24" i="4"/>
  <c r="AK24" i="4"/>
  <c r="BF24" i="4"/>
  <c r="W24" i="4"/>
  <c r="AX24" i="4"/>
  <c r="V24" i="4"/>
  <c r="N24" i="4"/>
  <c r="P25" i="4" s="1"/>
  <c r="R26" i="4" s="1"/>
  <c r="T24" i="4"/>
  <c r="AV24" i="4"/>
  <c r="BB24" i="4" s="1"/>
  <c r="AU24" i="4"/>
  <c r="S24" i="4"/>
  <c r="AW24" i="4"/>
  <c r="U24" i="4"/>
  <c r="M24" i="4"/>
  <c r="O25" i="4" s="1"/>
  <c r="Q26" i="4" s="1"/>
  <c r="X24" i="4"/>
  <c r="BE24" i="4"/>
  <c r="AL24" i="4"/>
  <c r="BC24" i="4"/>
  <c r="AG24" i="4"/>
  <c r="E24" i="4"/>
  <c r="AJ24" i="4"/>
  <c r="BI24" i="4" l="1"/>
  <c r="BK24" i="4" s="1"/>
  <c r="BA24" i="4"/>
  <c r="H25" i="4"/>
  <c r="J26" i="4" s="1"/>
  <c r="BH25" i="4"/>
  <c r="CB268" i="4"/>
  <c r="BX268" i="4"/>
  <c r="CA268" i="4"/>
  <c r="CC268" i="4"/>
  <c r="Z24" i="4"/>
  <c r="AB24" i="4" s="1"/>
  <c r="AN24" i="4"/>
  <c r="AP24" i="4" s="1"/>
  <c r="CB269" i="4"/>
  <c r="BX269" i="4"/>
  <c r="CA269" i="4"/>
  <c r="BY269" i="4"/>
  <c r="BG25" i="4"/>
  <c r="G25" i="4"/>
  <c r="I26" i="4" s="1"/>
  <c r="AM24" i="4"/>
  <c r="AO24" i="4" s="1"/>
  <c r="Y24" i="4"/>
  <c r="AA24" i="4" s="1"/>
  <c r="BJ24" i="4"/>
  <c r="BL24" i="4" s="1"/>
  <c r="BY268" i="4"/>
  <c r="CC269" i="4"/>
  <c r="AQ24" i="4" l="1"/>
  <c r="AS24" i="4" s="1"/>
  <c r="AR24" i="4"/>
  <c r="AT24" i="4" s="1"/>
  <c r="AC24" i="4"/>
  <c r="AE24" i="4" s="1"/>
  <c r="AD24" i="4"/>
  <c r="AF24" i="4" s="1"/>
  <c r="CE269" i="4"/>
  <c r="CG269" i="4" s="1"/>
  <c r="CD268" i="4"/>
  <c r="CF268" i="4" s="1"/>
  <c r="CE268" i="4"/>
  <c r="CG268" i="4" s="1"/>
  <c r="CD269" i="4"/>
  <c r="CF269" i="4" s="1"/>
  <c r="CH269" i="4" l="1"/>
  <c r="CJ269" i="4" s="1"/>
  <c r="BM24" i="4"/>
  <c r="BN24" i="4"/>
  <c r="BO24" i="4" s="1"/>
  <c r="BR24" i="4"/>
  <c r="BQ24" i="4"/>
  <c r="CI268" i="4"/>
  <c r="CK268" i="4" s="1"/>
  <c r="BI268" i="4" s="1"/>
  <c r="CH268" i="4"/>
  <c r="CJ268" i="4" s="1"/>
  <c r="BH268" i="4" s="1"/>
  <c r="CI269" i="4"/>
  <c r="CK269" i="4" s="1"/>
  <c r="BI269" i="4" s="1"/>
  <c r="BS24" i="4"/>
  <c r="BW24" i="4" l="1"/>
  <c r="C24" i="4" s="1"/>
  <c r="BU24" i="4"/>
  <c r="K24" i="4" s="1"/>
  <c r="BZ270" i="4"/>
  <c r="CC270" i="4"/>
  <c r="BY270" i="4"/>
  <c r="CA270" i="4"/>
  <c r="CB270" i="4"/>
  <c r="BX270" i="4"/>
  <c r="BH269" i="4"/>
  <c r="BZ271" i="4" s="1"/>
  <c r="BX24" i="4"/>
  <c r="D24" i="4" s="1"/>
  <c r="BV24" i="4"/>
  <c r="L24" i="4" s="1"/>
  <c r="AK25" i="4" l="1"/>
  <c r="BF25" i="4"/>
  <c r="AI25" i="4"/>
  <c r="AH25" i="4"/>
  <c r="BD25" i="4"/>
  <c r="F25" i="4"/>
  <c r="CB271" i="4"/>
  <c r="BX271" i="4"/>
  <c r="CA271" i="4"/>
  <c r="AW25" i="4"/>
  <c r="U25" i="4"/>
  <c r="M25" i="4"/>
  <c r="O26" i="4" s="1"/>
  <c r="Q27" i="4" s="1"/>
  <c r="X25" i="4"/>
  <c r="AU25" i="4"/>
  <c r="BA25" i="4" s="1"/>
  <c r="S25" i="4"/>
  <c r="BY271" i="4"/>
  <c r="AV25" i="4"/>
  <c r="BB25" i="4" s="1"/>
  <c r="T25" i="4"/>
  <c r="W25" i="4"/>
  <c r="AX25" i="4"/>
  <c r="N25" i="4"/>
  <c r="P26" i="4" s="1"/>
  <c r="R27" i="4" s="1"/>
  <c r="V25" i="4"/>
  <c r="CD270" i="4"/>
  <c r="CF270" i="4"/>
  <c r="CE270" i="4"/>
  <c r="CG270" i="4" s="1"/>
  <c r="BC25" i="4"/>
  <c r="AG25" i="4"/>
  <c r="E25" i="4"/>
  <c r="AJ25" i="4"/>
  <c r="BE25" i="4"/>
  <c r="AL25" i="4"/>
  <c r="CC271" i="4"/>
  <c r="CI270" i="4" l="1"/>
  <c r="CK270" i="4" s="1"/>
  <c r="BI270" i="4" s="1"/>
  <c r="BI25" i="4"/>
  <c r="BK25" i="4" s="1"/>
  <c r="Y25" i="4"/>
  <c r="AA25" i="4" s="1"/>
  <c r="CD271" i="4"/>
  <c r="CF271" i="4" s="1"/>
  <c r="AN25" i="4"/>
  <c r="AP25" i="4" s="1"/>
  <c r="Z25" i="4"/>
  <c r="AB25" i="4" s="1"/>
  <c r="G26" i="4"/>
  <c r="I27" i="4" s="1"/>
  <c r="BG26" i="4"/>
  <c r="BH26" i="4"/>
  <c r="H26" i="4"/>
  <c r="J27" i="4" s="1"/>
  <c r="AM25" i="4"/>
  <c r="AO25" i="4" s="1"/>
  <c r="CH270" i="4"/>
  <c r="CJ270" i="4" s="1"/>
  <c r="BH270" i="4" s="1"/>
  <c r="CE271" i="4"/>
  <c r="CG271" i="4" s="1"/>
  <c r="BJ25" i="4"/>
  <c r="BL25" i="4" s="1"/>
  <c r="CA272" i="4" l="1"/>
  <c r="CB272" i="4"/>
  <c r="BX272" i="4"/>
  <c r="CH271" i="4"/>
  <c r="CJ271" i="4" s="1"/>
  <c r="AQ25" i="4"/>
  <c r="AS25" i="4" s="1"/>
  <c r="AC25" i="4"/>
  <c r="AE25" i="4" s="1"/>
  <c r="AD25" i="4"/>
  <c r="AF25" i="4" s="1"/>
  <c r="CI271" i="4"/>
  <c r="CK271" i="4" s="1"/>
  <c r="BI271" i="4" s="1"/>
  <c r="AR25" i="4"/>
  <c r="AT25" i="4" s="1"/>
  <c r="BZ272" i="4"/>
  <c r="CC272" i="4"/>
  <c r="BY272" i="4"/>
  <c r="BH271" i="4" l="1"/>
  <c r="CB273" i="4" s="1"/>
  <c r="BN25" i="4"/>
  <c r="BM25" i="4"/>
  <c r="BY273" i="4"/>
  <c r="BZ273" i="4"/>
  <c r="CE272" i="4"/>
  <c r="CG272" i="4" s="1"/>
  <c r="CD272" i="4"/>
  <c r="CF272" i="4" s="1"/>
  <c r="BR25" i="4"/>
  <c r="BS25" i="4" s="1"/>
  <c r="BQ25" i="4"/>
  <c r="BO25" i="4"/>
  <c r="CA273" i="4" l="1"/>
  <c r="CE273" i="4" s="1"/>
  <c r="CG273" i="4" s="1"/>
  <c r="CC273" i="4"/>
  <c r="BX273" i="4"/>
  <c r="CH272" i="4"/>
  <c r="CJ272" i="4" s="1"/>
  <c r="CI272" i="4"/>
  <c r="CK272" i="4" s="1"/>
  <c r="BI272" i="4" s="1"/>
  <c r="BX25" i="4"/>
  <c r="D25" i="4" s="1"/>
  <c r="BV25" i="4"/>
  <c r="L25" i="4" s="1"/>
  <c r="CD273" i="4"/>
  <c r="CF273" i="4" s="1"/>
  <c r="BW25" i="4"/>
  <c r="C25" i="4" s="1"/>
  <c r="BU25" i="4"/>
  <c r="K25" i="4" s="1"/>
  <c r="CH273" i="4" l="1"/>
  <c r="CJ273" i="4" s="1"/>
  <c r="CI273" i="4"/>
  <c r="CK273" i="4" s="1"/>
  <c r="BI273" i="4" s="1"/>
  <c r="BH272" i="4"/>
  <c r="BY274" i="4" s="1"/>
  <c r="AU26" i="4"/>
  <c r="S26" i="4"/>
  <c r="AW26" i="4"/>
  <c r="U26" i="4"/>
  <c r="M26" i="4"/>
  <c r="O27" i="4" s="1"/>
  <c r="Q28" i="4" s="1"/>
  <c r="X26" i="4"/>
  <c r="W26" i="4"/>
  <c r="AX26" i="4"/>
  <c r="V26" i="4"/>
  <c r="N26" i="4"/>
  <c r="P27" i="4" s="1"/>
  <c r="R28" i="4" s="1"/>
  <c r="T26" i="4"/>
  <c r="AV26" i="4"/>
  <c r="BB26" i="4" s="1"/>
  <c r="BE26" i="4"/>
  <c r="AL26" i="4"/>
  <c r="BC26" i="4"/>
  <c r="AG26" i="4"/>
  <c r="E26" i="4"/>
  <c r="AJ26" i="4"/>
  <c r="AI26" i="4"/>
  <c r="BD26" i="4"/>
  <c r="AH26" i="4"/>
  <c r="F26" i="4"/>
  <c r="AK26" i="4"/>
  <c r="BF26" i="4"/>
  <c r="BA26" i="4" l="1"/>
  <c r="CC274" i="4"/>
  <c r="BH273" i="4"/>
  <c r="CC275" i="4" s="1"/>
  <c r="BI26" i="4"/>
  <c r="BK26" i="4" s="1"/>
  <c r="Z26" i="4"/>
  <c r="AB26" i="4" s="1"/>
  <c r="BJ26" i="4"/>
  <c r="BL26" i="4" s="1"/>
  <c r="AM26" i="4"/>
  <c r="AO26" i="4" s="1"/>
  <c r="H27" i="4"/>
  <c r="J28" i="4" s="1"/>
  <c r="BH27" i="4"/>
  <c r="Y26" i="4"/>
  <c r="AA26" i="4" s="1"/>
  <c r="AN26" i="4"/>
  <c r="AP26" i="4" s="1"/>
  <c r="BG27" i="4"/>
  <c r="G27" i="4"/>
  <c r="I28" i="4" s="1"/>
  <c r="CA274" i="4"/>
  <c r="CE274" i="4" s="1"/>
  <c r="BX274" i="4"/>
  <c r="CB274" i="4"/>
  <c r="BZ274" i="4"/>
  <c r="AC26" i="4" l="1"/>
  <c r="AE26" i="4" s="1"/>
  <c r="AD26" i="4"/>
  <c r="AF26" i="4" s="1"/>
  <c r="AQ26" i="4"/>
  <c r="AS26" i="4" s="1"/>
  <c r="BY275" i="4"/>
  <c r="CD274" i="4"/>
  <c r="CF274" i="4" s="1"/>
  <c r="CB275" i="4"/>
  <c r="BX275" i="4"/>
  <c r="CA275" i="4"/>
  <c r="CG274" i="4"/>
  <c r="AR26" i="4"/>
  <c r="AT26" i="4" s="1"/>
  <c r="BZ275" i="4"/>
  <c r="CH274" i="4" l="1"/>
  <c r="CJ274" i="4" s="1"/>
  <c r="BM26" i="4"/>
  <c r="BN26" i="4"/>
  <c r="BO26" i="4" s="1"/>
  <c r="BR26" i="4"/>
  <c r="BS26" i="4" s="1"/>
  <c r="BQ26" i="4"/>
  <c r="CD275" i="4"/>
  <c r="CF275" i="4" s="1"/>
  <c r="CE275" i="4"/>
  <c r="CG275" i="4" s="1"/>
  <c r="CI274" i="4"/>
  <c r="CK274" i="4" s="1"/>
  <c r="BI274" i="4" s="1"/>
  <c r="BW26" i="4" l="1"/>
  <c r="C26" i="4" s="1"/>
  <c r="BU26" i="4"/>
  <c r="K26" i="4" s="1"/>
  <c r="CH275" i="4"/>
  <c r="CJ275" i="4" s="1"/>
  <c r="BH275" i="4" s="1"/>
  <c r="CI275" i="4"/>
  <c r="CK275" i="4" s="1"/>
  <c r="BI275" i="4" s="1"/>
  <c r="BH274" i="4"/>
  <c r="BY276" i="4" s="1"/>
  <c r="BX26" i="4"/>
  <c r="D26" i="4" s="1"/>
  <c r="BV26" i="4"/>
  <c r="L26" i="4" s="1"/>
  <c r="CB277" i="4" l="1"/>
  <c r="BX277" i="4"/>
  <c r="CA277" i="4"/>
  <c r="CC277" i="4"/>
  <c r="BY277" i="4"/>
  <c r="BZ277" i="4"/>
  <c r="AV27" i="4"/>
  <c r="T27" i="4"/>
  <c r="W27" i="4"/>
  <c r="V27" i="4"/>
  <c r="AX27" i="4"/>
  <c r="N27" i="4"/>
  <c r="P28" i="4" s="1"/>
  <c r="R29" i="4" s="1"/>
  <c r="AK27" i="4"/>
  <c r="BF27" i="4"/>
  <c r="AI27" i="4"/>
  <c r="BD27" i="4"/>
  <c r="F27" i="4"/>
  <c r="AH27" i="4"/>
  <c r="CA276" i="4"/>
  <c r="CE276" i="4" s="1"/>
  <c r="CB276" i="4"/>
  <c r="BX276" i="4"/>
  <c r="CC276" i="4"/>
  <c r="AW27" i="4"/>
  <c r="U27" i="4"/>
  <c r="M27" i="4"/>
  <c r="O28" i="4" s="1"/>
  <c r="Q29" i="4" s="1"/>
  <c r="X27" i="4"/>
  <c r="AU27" i="4"/>
  <c r="BA27" i="4" s="1"/>
  <c r="S27" i="4"/>
  <c r="BZ276" i="4"/>
  <c r="BC27" i="4"/>
  <c r="AG27" i="4"/>
  <c r="E27" i="4"/>
  <c r="AJ27" i="4"/>
  <c r="BE27" i="4"/>
  <c r="AL27" i="4"/>
  <c r="AM27" i="4" l="1"/>
  <c r="AO27" i="4" s="1"/>
  <c r="CG276" i="4"/>
  <c r="BI27" i="4"/>
  <c r="BK27" i="4" s="1"/>
  <c r="AN27" i="4"/>
  <c r="AP27" i="4" s="1"/>
  <c r="CD276" i="4"/>
  <c r="CF276" i="4" s="1"/>
  <c r="BH28" i="4"/>
  <c r="H28" i="4"/>
  <c r="J29" i="4" s="1"/>
  <c r="G28" i="4"/>
  <c r="I29" i="4" s="1"/>
  <c r="BG28" i="4"/>
  <c r="Y27" i="4"/>
  <c r="AA27" i="4" s="1"/>
  <c r="BJ27" i="4"/>
  <c r="BL27" i="4" s="1"/>
  <c r="Z27" i="4"/>
  <c r="AB27" i="4" s="1"/>
  <c r="CD277" i="4"/>
  <c r="CF277" i="4" s="1"/>
  <c r="BB27" i="4"/>
  <c r="CE277" i="4"/>
  <c r="CG277" i="4" s="1"/>
  <c r="CI277" i="4" l="1"/>
  <c r="CK277" i="4" s="1"/>
  <c r="BI277" i="4" s="1"/>
  <c r="AQ27" i="4"/>
  <c r="AS27" i="4" s="1"/>
  <c r="AR27" i="4"/>
  <c r="AT27" i="4" s="1"/>
  <c r="AD27" i="4"/>
  <c r="AF27" i="4" s="1"/>
  <c r="AC27" i="4"/>
  <c r="AE27" i="4" s="1"/>
  <c r="CH277" i="4"/>
  <c r="CJ277" i="4" s="1"/>
  <c r="BH277" i="4" s="1"/>
  <c r="CI276" i="4"/>
  <c r="CK276" i="4" s="1"/>
  <c r="BI276" i="4" s="1"/>
  <c r="CH276" i="4"/>
  <c r="CJ276" i="4" s="1"/>
  <c r="BH276" i="4" l="1"/>
  <c r="CB278" i="4" s="1"/>
  <c r="CB279" i="4"/>
  <c r="BX279" i="4"/>
  <c r="CA279" i="4"/>
  <c r="BN27" i="4"/>
  <c r="BO27" i="4" s="1"/>
  <c r="BM27" i="4"/>
  <c r="CC279" i="4"/>
  <c r="BY279" i="4"/>
  <c r="BZ279" i="4"/>
  <c r="BZ278" i="4"/>
  <c r="BR27" i="4"/>
  <c r="BS27" i="4" s="1"/>
  <c r="BQ27" i="4"/>
  <c r="CA278" i="4" l="1"/>
  <c r="BY278" i="4"/>
  <c r="BX278" i="4"/>
  <c r="CC278" i="4"/>
  <c r="BW27" i="4"/>
  <c r="C27" i="4" s="1"/>
  <c r="BU27" i="4"/>
  <c r="K27" i="4" s="1"/>
  <c r="CE278" i="4"/>
  <c r="CG278" i="4" s="1"/>
  <c r="CE279" i="4"/>
  <c r="CG279" i="4" s="1"/>
  <c r="CD278" i="4"/>
  <c r="CF278" i="4" s="1"/>
  <c r="CD279" i="4"/>
  <c r="CF279" i="4" s="1"/>
  <c r="BX27" i="4"/>
  <c r="D27" i="4" s="1"/>
  <c r="BV27" i="4"/>
  <c r="L27" i="4" s="1"/>
  <c r="CI278" i="4" l="1"/>
  <c r="CK278" i="4" s="1"/>
  <c r="BI278" i="4" s="1"/>
  <c r="CH279" i="4"/>
  <c r="CJ279" i="4" s="1"/>
  <c r="CI279" i="4"/>
  <c r="CK279" i="4" s="1"/>
  <c r="BI279" i="4" s="1"/>
  <c r="CH278" i="4"/>
  <c r="CJ278" i="4" s="1"/>
  <c r="W28" i="4"/>
  <c r="AX28" i="4"/>
  <c r="V28" i="4"/>
  <c r="N28" i="4"/>
  <c r="P29" i="4" s="1"/>
  <c r="R30" i="4" s="1"/>
  <c r="AV28" i="4"/>
  <c r="T28" i="4"/>
  <c r="AI28" i="4"/>
  <c r="BD28" i="4"/>
  <c r="AH28" i="4"/>
  <c r="F28" i="4"/>
  <c r="AK28" i="4"/>
  <c r="BF28" i="4"/>
  <c r="AU28" i="4"/>
  <c r="BA28" i="4" s="1"/>
  <c r="S28" i="4"/>
  <c r="AW28" i="4"/>
  <c r="U28" i="4"/>
  <c r="M28" i="4"/>
  <c r="O29" i="4" s="1"/>
  <c r="Q30" i="4" s="1"/>
  <c r="X28" i="4"/>
  <c r="BE28" i="4"/>
  <c r="AL28" i="4"/>
  <c r="BC28" i="4"/>
  <c r="AG28" i="4"/>
  <c r="E28" i="4"/>
  <c r="AJ28" i="4"/>
  <c r="BH278" i="4" l="1"/>
  <c r="BH279" i="4"/>
  <c r="BJ28" i="4"/>
  <c r="BL28" i="4" s="1"/>
  <c r="BI28" i="4"/>
  <c r="BK28" i="4" s="1"/>
  <c r="BG29" i="4"/>
  <c r="G29" i="4"/>
  <c r="I30" i="4" s="1"/>
  <c r="AM28" i="4"/>
  <c r="AO28" i="4" s="1"/>
  <c r="Y28" i="4"/>
  <c r="AA28" i="4" s="1"/>
  <c r="H29" i="4"/>
  <c r="J30" i="4" s="1"/>
  <c r="BH29" i="4"/>
  <c r="Z28" i="4"/>
  <c r="AB28" i="4" s="1"/>
  <c r="AN28" i="4"/>
  <c r="AP28" i="4" s="1"/>
  <c r="BB28" i="4"/>
  <c r="AD28" i="4" l="1"/>
  <c r="AF28" i="4" s="1"/>
  <c r="AR28" i="4"/>
  <c r="AT28" i="4" s="1"/>
  <c r="AC28" i="4"/>
  <c r="AE28" i="4" s="1"/>
  <c r="AQ28" i="4"/>
  <c r="AS28" i="4" s="1"/>
  <c r="BO28" i="4" l="1"/>
  <c r="BR28" i="4"/>
  <c r="BS28" i="4" s="1"/>
  <c r="BQ28" i="4"/>
  <c r="BN28" i="4"/>
  <c r="BM28" i="4"/>
  <c r="BW28" i="4" l="1"/>
  <c r="C28" i="4" s="1"/>
  <c r="BU28" i="4"/>
  <c r="K28" i="4" s="1"/>
  <c r="BX28" i="4"/>
  <c r="D28" i="4" s="1"/>
  <c r="BV28" i="4"/>
  <c r="L28" i="4" s="1"/>
  <c r="AV29" i="4" l="1"/>
  <c r="T29" i="4"/>
  <c r="W29" i="4"/>
  <c r="V29" i="4"/>
  <c r="AX29" i="4"/>
  <c r="N29" i="4"/>
  <c r="P30" i="4" s="1"/>
  <c r="R31" i="4" s="1"/>
  <c r="AK29" i="4"/>
  <c r="BF29" i="4"/>
  <c r="AI29" i="4"/>
  <c r="BD29" i="4"/>
  <c r="F29" i="4"/>
  <c r="AH29" i="4"/>
  <c r="AW29" i="4"/>
  <c r="U29" i="4"/>
  <c r="M29" i="4"/>
  <c r="O30" i="4" s="1"/>
  <c r="Q31" i="4" s="1"/>
  <c r="X29" i="4"/>
  <c r="AU29" i="4"/>
  <c r="S29" i="4"/>
  <c r="BC29" i="4"/>
  <c r="AG29" i="4"/>
  <c r="E29" i="4"/>
  <c r="AJ29" i="4"/>
  <c r="BE29" i="4"/>
  <c r="AL29" i="4"/>
  <c r="BA29" i="4" l="1"/>
  <c r="AM29" i="4"/>
  <c r="AO29" i="4" s="1"/>
  <c r="AN29" i="4"/>
  <c r="AP29" i="4" s="1"/>
  <c r="BI29" i="4"/>
  <c r="BK29" i="4" s="1"/>
  <c r="BH30" i="4"/>
  <c r="H30" i="4"/>
  <c r="J31" i="4" s="1"/>
  <c r="Y29" i="4"/>
  <c r="AA29" i="4" s="1"/>
  <c r="BJ29" i="4"/>
  <c r="BL29" i="4" s="1"/>
  <c r="Z29" i="4"/>
  <c r="AB29" i="4" s="1"/>
  <c r="G30" i="4"/>
  <c r="I31" i="4" s="1"/>
  <c r="BG30" i="4"/>
  <c r="BB29" i="4"/>
  <c r="AC29" i="4" l="1"/>
  <c r="AE29" i="4" s="1"/>
  <c r="AR29" i="4"/>
  <c r="AT29" i="4" s="1"/>
  <c r="AQ29" i="4"/>
  <c r="AS29" i="4" s="1"/>
  <c r="AD29" i="4"/>
  <c r="AF29" i="4" s="1"/>
  <c r="BR29" i="4" l="1"/>
  <c r="BS29" i="4" s="1"/>
  <c r="BQ29" i="4"/>
  <c r="BN29" i="4"/>
  <c r="BO29" i="4" s="1"/>
  <c r="BM29" i="4"/>
  <c r="BW29" i="4" l="1"/>
  <c r="C29" i="4" s="1"/>
  <c r="BU29" i="4"/>
  <c r="K29" i="4" s="1"/>
  <c r="BX29" i="4"/>
  <c r="D29" i="4" s="1"/>
  <c r="BV29" i="4"/>
  <c r="L29" i="4" s="1"/>
  <c r="W30" i="4" l="1"/>
  <c r="AX30" i="4"/>
  <c r="V30" i="4"/>
  <c r="N30" i="4"/>
  <c r="P31" i="4" s="1"/>
  <c r="R32" i="4" s="1"/>
  <c r="T30" i="4"/>
  <c r="AV30" i="4"/>
  <c r="BB30" i="4" s="1"/>
  <c r="AI30" i="4"/>
  <c r="BD30" i="4"/>
  <c r="AH30" i="4"/>
  <c r="F30" i="4"/>
  <c r="AK30" i="4"/>
  <c r="BF30" i="4"/>
  <c r="AU30" i="4"/>
  <c r="S30" i="4"/>
  <c r="AW30" i="4"/>
  <c r="U30" i="4"/>
  <c r="M30" i="4"/>
  <c r="O31" i="4" s="1"/>
  <c r="Q32" i="4" s="1"/>
  <c r="X30" i="4"/>
  <c r="BE30" i="4"/>
  <c r="AL30" i="4"/>
  <c r="BC30" i="4"/>
  <c r="AG30" i="4"/>
  <c r="E30" i="4"/>
  <c r="AJ30" i="4"/>
  <c r="BG31" i="4" l="1"/>
  <c r="G31" i="4"/>
  <c r="I32" i="4" s="1"/>
  <c r="H31" i="4"/>
  <c r="J32" i="4" s="1"/>
  <c r="BH31" i="4"/>
  <c r="BJ30" i="4"/>
  <c r="BL30" i="4" s="1"/>
  <c r="AM30" i="4"/>
  <c r="AO30" i="4" s="1"/>
  <c r="Y30" i="4"/>
  <c r="AA30" i="4" s="1"/>
  <c r="BI30" i="4"/>
  <c r="BK30" i="4" s="1"/>
  <c r="BA30" i="4"/>
  <c r="AN30" i="4"/>
  <c r="AP30" i="4" s="1"/>
  <c r="Z30" i="4"/>
  <c r="AB30" i="4" s="1"/>
  <c r="AC30" i="4" l="1"/>
  <c r="AE30" i="4" s="1"/>
  <c r="AR30" i="4"/>
  <c r="AT30" i="4" s="1"/>
  <c r="AQ30" i="4"/>
  <c r="AS30" i="4" s="1"/>
  <c r="AD30" i="4"/>
  <c r="AF30" i="4" s="1"/>
  <c r="BM30" i="4" l="1"/>
  <c r="BN30" i="4"/>
  <c r="BO30" i="4" s="1"/>
  <c r="BR30" i="4"/>
  <c r="BS30" i="4" s="1"/>
  <c r="BQ30" i="4"/>
  <c r="BW30" i="4" l="1"/>
  <c r="C30" i="4" s="1"/>
  <c r="BU30" i="4"/>
  <c r="K30" i="4" s="1"/>
  <c r="BX30" i="4"/>
  <c r="D30" i="4" s="1"/>
  <c r="BV30" i="4"/>
  <c r="L30" i="4" s="1"/>
  <c r="AK31" i="4" l="1"/>
  <c r="BF31" i="4"/>
  <c r="AI31" i="4"/>
  <c r="BD31" i="4"/>
  <c r="F31" i="4"/>
  <c r="AH31" i="4"/>
  <c r="AV31" i="4"/>
  <c r="T31" i="4"/>
  <c r="W31" i="4"/>
  <c r="N31" i="4"/>
  <c r="P32" i="4" s="1"/>
  <c r="R33" i="4" s="1"/>
  <c r="V31" i="4"/>
  <c r="AX31" i="4"/>
  <c r="AW31" i="4"/>
  <c r="U31" i="4"/>
  <c r="M31" i="4"/>
  <c r="O32" i="4" s="1"/>
  <c r="Q33" i="4" s="1"/>
  <c r="X31" i="4"/>
  <c r="AU31" i="4"/>
  <c r="BA31" i="4" s="1"/>
  <c r="S31" i="4"/>
  <c r="BC31" i="4"/>
  <c r="AG31" i="4"/>
  <c r="E31" i="4"/>
  <c r="AJ31" i="4"/>
  <c r="BE31" i="4"/>
  <c r="AL31" i="4"/>
  <c r="Z31" i="4" l="1"/>
  <c r="AB31" i="4" s="1"/>
  <c r="BJ31" i="4"/>
  <c r="BL31" i="4" s="1"/>
  <c r="G32" i="4"/>
  <c r="I33" i="4" s="1"/>
  <c r="BG32" i="4"/>
  <c r="AM31" i="4"/>
  <c r="AO31" i="4" s="1"/>
  <c r="BI31" i="4"/>
  <c r="BK31" i="4" s="1"/>
  <c r="BB31" i="4"/>
  <c r="Y31" i="4"/>
  <c r="AA31" i="4" s="1"/>
  <c r="AN31" i="4"/>
  <c r="AP31" i="4" s="1"/>
  <c r="BH32" i="4"/>
  <c r="H32" i="4"/>
  <c r="J33" i="4" s="1"/>
  <c r="AR31" i="4" l="1"/>
  <c r="AT31" i="4" s="1"/>
  <c r="AD31" i="4"/>
  <c r="AF31" i="4" s="1"/>
  <c r="AQ31" i="4"/>
  <c r="AS31" i="4" s="1"/>
  <c r="AC31" i="4"/>
  <c r="AE31" i="4" s="1"/>
  <c r="BN31" i="4" l="1"/>
  <c r="BO31" i="4" s="1"/>
  <c r="BM31" i="4"/>
  <c r="BS31" i="4"/>
  <c r="BR31" i="4"/>
  <c r="BQ31" i="4"/>
  <c r="BW31" i="4" l="1"/>
  <c r="C31" i="4" s="1"/>
  <c r="BU31" i="4"/>
  <c r="K31" i="4" s="1"/>
  <c r="BX31" i="4"/>
  <c r="D31" i="4" s="1"/>
  <c r="BV31" i="4"/>
  <c r="L31" i="4" s="1"/>
  <c r="W32" i="4" l="1"/>
  <c r="AX32" i="4"/>
  <c r="V32" i="4"/>
  <c r="N32" i="4"/>
  <c r="P33" i="4" s="1"/>
  <c r="R34" i="4" s="1"/>
  <c r="T32" i="4"/>
  <c r="AV32" i="4"/>
  <c r="BB32" i="4" s="1"/>
  <c r="AI32" i="4"/>
  <c r="BD32" i="4"/>
  <c r="AH32" i="4"/>
  <c r="F32" i="4"/>
  <c r="AK32" i="4"/>
  <c r="BF32" i="4"/>
  <c r="AU32" i="4"/>
  <c r="S32" i="4"/>
  <c r="AW32" i="4"/>
  <c r="U32" i="4"/>
  <c r="M32" i="4"/>
  <c r="O33" i="4" s="1"/>
  <c r="Q34" i="4" s="1"/>
  <c r="X32" i="4"/>
  <c r="BE32" i="4"/>
  <c r="AL32" i="4"/>
  <c r="BC32" i="4"/>
  <c r="AG32" i="4"/>
  <c r="E32" i="4"/>
  <c r="AJ32" i="4"/>
  <c r="BJ32" i="4" l="1"/>
  <c r="BL32" i="4" s="1"/>
  <c r="BG33" i="4"/>
  <c r="G33" i="4"/>
  <c r="I34" i="4" s="1"/>
  <c r="H33" i="4"/>
  <c r="J34" i="4" s="1"/>
  <c r="BH33" i="4"/>
  <c r="AM32" i="4"/>
  <c r="AO32" i="4" s="1"/>
  <c r="Y32" i="4"/>
  <c r="AA32" i="4" s="1"/>
  <c r="BI32" i="4"/>
  <c r="BK32" i="4" s="1"/>
  <c r="BA32" i="4"/>
  <c r="AN32" i="4"/>
  <c r="AP32" i="4" s="1"/>
  <c r="Z32" i="4"/>
  <c r="AB32" i="4" s="1"/>
  <c r="AR32" i="4" l="1"/>
  <c r="AT32" i="4" s="1"/>
  <c r="AC32" i="4"/>
  <c r="AE32" i="4" s="1"/>
  <c r="AQ32" i="4"/>
  <c r="AS32" i="4" s="1"/>
  <c r="AD32" i="4"/>
  <c r="AF32" i="4" s="1"/>
  <c r="BR32" i="4" l="1"/>
  <c r="BQ32" i="4"/>
  <c r="BM32" i="4"/>
  <c r="BN32" i="4"/>
  <c r="BO32" i="4" s="1"/>
  <c r="BS32" i="4"/>
  <c r="BW32" i="4" l="1"/>
  <c r="C32" i="4" s="1"/>
  <c r="BU32" i="4"/>
  <c r="K32" i="4" s="1"/>
  <c r="BX32" i="4"/>
  <c r="D32" i="4" s="1"/>
  <c r="BV32" i="4"/>
  <c r="L32" i="4" s="1"/>
  <c r="BC33" i="4" l="1"/>
  <c r="AG33" i="4"/>
  <c r="E33" i="4"/>
  <c r="AJ33" i="4"/>
  <c r="BE33" i="4"/>
  <c r="AL33" i="4"/>
  <c r="AV33" i="4"/>
  <c r="T33" i="4"/>
  <c r="W33" i="4"/>
  <c r="AX33" i="4"/>
  <c r="N33" i="4"/>
  <c r="P34" i="4" s="1"/>
  <c r="R35" i="4" s="1"/>
  <c r="V33" i="4"/>
  <c r="AW33" i="4"/>
  <c r="U33" i="4"/>
  <c r="M33" i="4"/>
  <c r="O34" i="4" s="1"/>
  <c r="Q35" i="4" s="1"/>
  <c r="X33" i="4"/>
  <c r="AU33" i="4"/>
  <c r="S33" i="4"/>
  <c r="AK33" i="4"/>
  <c r="BF33" i="4"/>
  <c r="AI33" i="4"/>
  <c r="AH33" i="4"/>
  <c r="BD33" i="4"/>
  <c r="F33" i="4"/>
  <c r="BA33" i="4" l="1"/>
  <c r="BH34" i="4"/>
  <c r="H34" i="4"/>
  <c r="J35" i="4" s="1"/>
  <c r="Z33" i="4"/>
  <c r="AB33" i="4" s="1"/>
  <c r="BJ33" i="4"/>
  <c r="BL33" i="4" s="1"/>
  <c r="BB33" i="4"/>
  <c r="G34" i="4"/>
  <c r="I35" i="4" s="1"/>
  <c r="BG34" i="4"/>
  <c r="AN33" i="4"/>
  <c r="AP33" i="4" s="1"/>
  <c r="Y33" i="4"/>
  <c r="AA33" i="4" s="1"/>
  <c r="AM33" i="4"/>
  <c r="AO33" i="4" s="1"/>
  <c r="BI33" i="4"/>
  <c r="BK33" i="4" s="1"/>
  <c r="AD33" i="4" l="1"/>
  <c r="AF33" i="4" s="1"/>
  <c r="AR33" i="4"/>
  <c r="AT33" i="4" s="1"/>
  <c r="AC33" i="4"/>
  <c r="AE33" i="4" s="1"/>
  <c r="AQ33" i="4"/>
  <c r="AS33" i="4" s="1"/>
  <c r="BR33" i="4" l="1"/>
  <c r="BS33" i="4" s="1"/>
  <c r="BQ33" i="4"/>
  <c r="BN33" i="4"/>
  <c r="BO33" i="4" s="1"/>
  <c r="BM33" i="4"/>
  <c r="BW33" i="4" l="1"/>
  <c r="C33" i="4" s="1"/>
  <c r="BU33" i="4"/>
  <c r="K33" i="4" s="1"/>
  <c r="BX33" i="4"/>
  <c r="D33" i="4" s="1"/>
  <c r="BV33" i="4"/>
  <c r="L33" i="4" s="1"/>
  <c r="W34" i="4" l="1"/>
  <c r="AX34" i="4"/>
  <c r="V34" i="4"/>
  <c r="N34" i="4"/>
  <c r="P35" i="4" s="1"/>
  <c r="R36" i="4" s="1"/>
  <c r="T34" i="4"/>
  <c r="AV34" i="4"/>
  <c r="BB34" i="4" s="1"/>
  <c r="AI34" i="4"/>
  <c r="BD34" i="4"/>
  <c r="AH34" i="4"/>
  <c r="F34" i="4"/>
  <c r="AK34" i="4"/>
  <c r="BF34" i="4"/>
  <c r="AU34" i="4"/>
  <c r="S34" i="4"/>
  <c r="AW34" i="4"/>
  <c r="U34" i="4"/>
  <c r="M34" i="4"/>
  <c r="O35" i="4" s="1"/>
  <c r="Q36" i="4" s="1"/>
  <c r="X34" i="4"/>
  <c r="BE34" i="4"/>
  <c r="AL34" i="4"/>
  <c r="BC34" i="4"/>
  <c r="AG34" i="4"/>
  <c r="E34" i="4"/>
  <c r="AJ34" i="4"/>
  <c r="AM34" i="4" l="1"/>
  <c r="AO34" i="4" s="1"/>
  <c r="BJ34" i="4"/>
  <c r="BL34" i="4" s="1"/>
  <c r="BG35" i="4"/>
  <c r="G35" i="4"/>
  <c r="I36" i="4" s="1"/>
  <c r="Y34" i="4"/>
  <c r="AA34" i="4" s="1"/>
  <c r="H35" i="4"/>
  <c r="J36" i="4" s="1"/>
  <c r="BH35" i="4"/>
  <c r="BI34" i="4"/>
  <c r="BK34" i="4" s="1"/>
  <c r="BA34" i="4"/>
  <c r="AN34" i="4"/>
  <c r="AP34" i="4" s="1"/>
  <c r="Z34" i="4"/>
  <c r="AB34" i="4" s="1"/>
  <c r="AD34" i="4" l="1"/>
  <c r="AF34" i="4" s="1"/>
  <c r="AR34" i="4"/>
  <c r="AT34" i="4" s="1"/>
  <c r="AC34" i="4"/>
  <c r="AE34" i="4" s="1"/>
  <c r="AQ34" i="4"/>
  <c r="AS34" i="4" s="1"/>
  <c r="BR34" i="4" l="1"/>
  <c r="BS34" i="4" s="1"/>
  <c r="BQ34" i="4"/>
  <c r="BM34" i="4"/>
  <c r="BN34" i="4"/>
  <c r="BO34" i="4" s="1"/>
  <c r="BW34" i="4" l="1"/>
  <c r="C34" i="4" s="1"/>
  <c r="BU34" i="4"/>
  <c r="K34" i="4" s="1"/>
  <c r="BX34" i="4"/>
  <c r="D34" i="4" s="1"/>
  <c r="BV34" i="4"/>
  <c r="L34" i="4" s="1"/>
  <c r="AV35" i="4" l="1"/>
  <c r="T35" i="4"/>
  <c r="W35" i="4"/>
  <c r="V35" i="4"/>
  <c r="AX35" i="4"/>
  <c r="N35" i="4"/>
  <c r="P36" i="4" s="1"/>
  <c r="R37" i="4" s="1"/>
  <c r="AK35" i="4"/>
  <c r="BF35" i="4"/>
  <c r="AI35" i="4"/>
  <c r="BD35" i="4"/>
  <c r="F35" i="4"/>
  <c r="AH35" i="4"/>
  <c r="AW35" i="4"/>
  <c r="U35" i="4"/>
  <c r="M35" i="4"/>
  <c r="O36" i="4" s="1"/>
  <c r="Q37" i="4" s="1"/>
  <c r="X35" i="4"/>
  <c r="AU35" i="4"/>
  <c r="S35" i="4"/>
  <c r="BC35" i="4"/>
  <c r="AG35" i="4"/>
  <c r="E35" i="4"/>
  <c r="AJ35" i="4"/>
  <c r="BE35" i="4"/>
  <c r="AL35" i="4"/>
  <c r="BA35" i="4" l="1"/>
  <c r="AM35" i="4"/>
  <c r="AO35" i="4" s="1"/>
  <c r="AN35" i="4"/>
  <c r="AP35" i="4" s="1"/>
  <c r="BI35" i="4"/>
  <c r="BK35" i="4" s="1"/>
  <c r="BH36" i="4"/>
  <c r="H36" i="4"/>
  <c r="J37" i="4" s="1"/>
  <c r="Y35" i="4"/>
  <c r="AA35" i="4" s="1"/>
  <c r="BJ35" i="4"/>
  <c r="BL35" i="4" s="1"/>
  <c r="Z35" i="4"/>
  <c r="AB35" i="4" s="1"/>
  <c r="BG36" i="4"/>
  <c r="G36" i="4"/>
  <c r="I37" i="4" s="1"/>
  <c r="BB35" i="4"/>
  <c r="AR35" i="4" l="1"/>
  <c r="AT35" i="4" s="1"/>
  <c r="AC35" i="4"/>
  <c r="AE35" i="4" s="1"/>
  <c r="AQ35" i="4"/>
  <c r="AS35" i="4" s="1"/>
  <c r="AD35" i="4"/>
  <c r="AF35" i="4" s="1"/>
  <c r="BN35" i="4" l="1"/>
  <c r="BO35" i="4" s="1"/>
  <c r="BM35" i="4"/>
  <c r="BR35" i="4"/>
  <c r="BS35" i="4" s="1"/>
  <c r="BQ35" i="4"/>
  <c r="BW35" i="4" l="1"/>
  <c r="C35" i="4" s="1"/>
  <c r="BU35" i="4"/>
  <c r="K35" i="4" s="1"/>
  <c r="BX35" i="4"/>
  <c r="D35" i="4" s="1"/>
  <c r="BV35" i="4"/>
  <c r="L35" i="4" s="1"/>
  <c r="AW36" i="4" l="1"/>
  <c r="AU36" i="4"/>
  <c r="S36" i="4"/>
  <c r="U36" i="4"/>
  <c r="M36" i="4"/>
  <c r="O37" i="4" s="1"/>
  <c r="Q38" i="4" s="1"/>
  <c r="X36" i="4"/>
  <c r="AV36" i="4"/>
  <c r="W36" i="4"/>
  <c r="AX36" i="4"/>
  <c r="V36" i="4"/>
  <c r="N36" i="4"/>
  <c r="P37" i="4" s="1"/>
  <c r="R38" i="4" s="1"/>
  <c r="T36" i="4"/>
  <c r="AK36" i="4"/>
  <c r="BF36" i="4"/>
  <c r="AI36" i="4"/>
  <c r="BD36" i="4"/>
  <c r="AH36" i="4"/>
  <c r="F36" i="4"/>
  <c r="BC36" i="4"/>
  <c r="AG36" i="4"/>
  <c r="AJ36" i="4"/>
  <c r="BE36" i="4"/>
  <c r="AL36" i="4"/>
  <c r="E36" i="4"/>
  <c r="BJ36" i="4" l="1"/>
  <c r="BL36" i="4" s="1"/>
  <c r="Z36" i="4"/>
  <c r="AB36" i="4" s="1"/>
  <c r="BI36" i="4"/>
  <c r="BK36" i="4" s="1"/>
  <c r="BB36" i="4"/>
  <c r="Y36" i="4"/>
  <c r="AA36" i="4" s="1"/>
  <c r="BH37" i="4"/>
  <c r="H37" i="4"/>
  <c r="J38" i="4" s="1"/>
  <c r="BA36" i="4"/>
  <c r="G37" i="4"/>
  <c r="I38" i="4" s="1"/>
  <c r="BG37" i="4"/>
  <c r="AM36" i="4"/>
  <c r="AO36" i="4" s="1"/>
  <c r="AN36" i="4"/>
  <c r="AP36" i="4" s="1"/>
  <c r="AQ36" i="4" l="1"/>
  <c r="AS36" i="4" s="1"/>
  <c r="AD36" i="4"/>
  <c r="AF36" i="4" s="1"/>
  <c r="AC36" i="4"/>
  <c r="AE36" i="4" s="1"/>
  <c r="AR36" i="4"/>
  <c r="AT36" i="4" s="1"/>
  <c r="BM36" i="4" l="1"/>
  <c r="BN36" i="4"/>
  <c r="BR36" i="4"/>
  <c r="BS36" i="4" s="1"/>
  <c r="BQ36" i="4"/>
  <c r="BO36" i="4"/>
  <c r="BW36" i="4" l="1"/>
  <c r="C36" i="4" s="1"/>
  <c r="BU36" i="4"/>
  <c r="K36" i="4" s="1"/>
  <c r="BX36" i="4"/>
  <c r="D36" i="4" s="1"/>
  <c r="BV36" i="4"/>
  <c r="L36" i="4" s="1"/>
  <c r="W37" i="4" l="1"/>
  <c r="AX37" i="4"/>
  <c r="V37" i="4"/>
  <c r="N37" i="4"/>
  <c r="P38" i="4" s="1"/>
  <c r="R39" i="4" s="1"/>
  <c r="AV37" i="4"/>
  <c r="T37" i="4"/>
  <c r="AI37" i="4"/>
  <c r="BD37" i="4"/>
  <c r="AH37" i="4"/>
  <c r="F37" i="4"/>
  <c r="AK37" i="4"/>
  <c r="BF37" i="4"/>
  <c r="AU37" i="4"/>
  <c r="BA37" i="4" s="1"/>
  <c r="S37" i="4"/>
  <c r="AW37" i="4"/>
  <c r="U37" i="4"/>
  <c r="M37" i="4"/>
  <c r="O38" i="4" s="1"/>
  <c r="Q39" i="4" s="1"/>
  <c r="X37" i="4"/>
  <c r="BE37" i="4"/>
  <c r="AL37" i="4"/>
  <c r="BC37" i="4"/>
  <c r="AG37" i="4"/>
  <c r="E37" i="4"/>
  <c r="AJ37" i="4"/>
  <c r="BJ37" i="4" l="1"/>
  <c r="BL37" i="4" s="1"/>
  <c r="BG38" i="4"/>
  <c r="G38" i="4"/>
  <c r="I39" i="4" s="1"/>
  <c r="AM37" i="4"/>
  <c r="AO37" i="4" s="1"/>
  <c r="Y37" i="4"/>
  <c r="AA37" i="4" s="1"/>
  <c r="H38" i="4"/>
  <c r="J39" i="4" s="1"/>
  <c r="BH38" i="4"/>
  <c r="Z37" i="4"/>
  <c r="AB37" i="4" s="1"/>
  <c r="BI37" i="4"/>
  <c r="BK37" i="4" s="1"/>
  <c r="AN37" i="4"/>
  <c r="AP37" i="4" s="1"/>
  <c r="BB37" i="4"/>
  <c r="AD37" i="4" l="1"/>
  <c r="AF37" i="4" s="1"/>
  <c r="AR37" i="4"/>
  <c r="AT37" i="4" s="1"/>
  <c r="AQ37" i="4"/>
  <c r="AS37" i="4" s="1"/>
  <c r="AC37" i="4"/>
  <c r="AE37" i="4" s="1"/>
  <c r="BR37" i="4" l="1"/>
  <c r="BS37" i="4" s="1"/>
  <c r="BQ37" i="4"/>
  <c r="BM37" i="4"/>
  <c r="BN37" i="4"/>
  <c r="BO37" i="4" s="1"/>
  <c r="BW37" i="4" l="1"/>
  <c r="C37" i="4" s="1"/>
  <c r="BU37" i="4"/>
  <c r="K37" i="4" s="1"/>
  <c r="BX37" i="4"/>
  <c r="D37" i="4" s="1"/>
  <c r="BV37" i="4"/>
  <c r="L37" i="4" s="1"/>
  <c r="AW38" i="4" l="1"/>
  <c r="U38" i="4"/>
  <c r="M38" i="4"/>
  <c r="O39" i="4" s="1"/>
  <c r="Q40" i="4" s="1"/>
  <c r="X38" i="4"/>
  <c r="AU38" i="4"/>
  <c r="BA38" i="4" s="1"/>
  <c r="S38" i="4"/>
  <c r="AV38" i="4"/>
  <c r="T38" i="4"/>
  <c r="W38" i="4"/>
  <c r="V38" i="4"/>
  <c r="AX38" i="4"/>
  <c r="N38" i="4"/>
  <c r="P39" i="4" s="1"/>
  <c r="R40" i="4" s="1"/>
  <c r="AK38" i="4"/>
  <c r="BF38" i="4"/>
  <c r="AI38" i="4"/>
  <c r="BD38" i="4"/>
  <c r="F38" i="4"/>
  <c r="AH38" i="4"/>
  <c r="BC38" i="4"/>
  <c r="AG38" i="4"/>
  <c r="E38" i="4"/>
  <c r="AJ38" i="4"/>
  <c r="BE38" i="4"/>
  <c r="AL38" i="4"/>
  <c r="BB38" i="4" l="1"/>
  <c r="AM38" i="4"/>
  <c r="AO38" i="4" s="1"/>
  <c r="Z38" i="4"/>
  <c r="AB38" i="4" s="1"/>
  <c r="BI38" i="4"/>
  <c r="BK38" i="4" s="1"/>
  <c r="AN38" i="4"/>
  <c r="AP38" i="4" s="1"/>
  <c r="Y38" i="4"/>
  <c r="AA38" i="4" s="1"/>
  <c r="BJ38" i="4"/>
  <c r="BL38" i="4" s="1"/>
  <c r="G39" i="4"/>
  <c r="I40" i="4" s="1"/>
  <c r="BG39" i="4"/>
  <c r="BH39" i="4"/>
  <c r="H39" i="4"/>
  <c r="J40" i="4" s="1"/>
  <c r="AD38" i="4" l="1"/>
  <c r="AF38" i="4" s="1"/>
  <c r="AQ38" i="4"/>
  <c r="AS38" i="4" s="1"/>
  <c r="AR38" i="4"/>
  <c r="AT38" i="4" s="1"/>
  <c r="AC38" i="4"/>
  <c r="AE38" i="4" s="1"/>
  <c r="BN38" i="4" l="1"/>
  <c r="BO38" i="4" s="1"/>
  <c r="BM38" i="4"/>
  <c r="BR38" i="4"/>
  <c r="BS38" i="4" s="1"/>
  <c r="BQ38" i="4"/>
  <c r="BX38" i="4" l="1"/>
  <c r="D38" i="4" s="1"/>
  <c r="BV38" i="4"/>
  <c r="L38" i="4" s="1"/>
  <c r="BW38" i="4"/>
  <c r="C38" i="4" s="1"/>
  <c r="BU38" i="4"/>
  <c r="K38" i="4" s="1"/>
  <c r="AU39" i="4" l="1"/>
  <c r="S39" i="4"/>
  <c r="AW39" i="4"/>
  <c r="U39" i="4"/>
  <c r="M39" i="4"/>
  <c r="O40" i="4" s="1"/>
  <c r="Q41" i="4" s="1"/>
  <c r="X39" i="4"/>
  <c r="W39" i="4"/>
  <c r="AX39" i="4"/>
  <c r="V39" i="4"/>
  <c r="N39" i="4"/>
  <c r="P40" i="4" s="1"/>
  <c r="R41" i="4" s="1"/>
  <c r="T39" i="4"/>
  <c r="AV39" i="4"/>
  <c r="BB39" i="4" s="1"/>
  <c r="BE39" i="4"/>
  <c r="AL39" i="4"/>
  <c r="BC39" i="4"/>
  <c r="AG39" i="4"/>
  <c r="E39" i="4"/>
  <c r="AJ39" i="4"/>
  <c r="AI39" i="4"/>
  <c r="BD39" i="4"/>
  <c r="AH39" i="4"/>
  <c r="F39" i="4"/>
  <c r="AK39" i="4"/>
  <c r="BF39" i="4"/>
  <c r="AN39" i="4" l="1"/>
  <c r="AP39" i="4" s="1"/>
  <c r="BJ39" i="4"/>
  <c r="BL39" i="4" s="1"/>
  <c r="AM39" i="4"/>
  <c r="AO39" i="4" s="1"/>
  <c r="BI39" i="4"/>
  <c r="BK39" i="4" s="1"/>
  <c r="Z39" i="4"/>
  <c r="AB39" i="4" s="1"/>
  <c r="H40" i="4"/>
  <c r="J41" i="4" s="1"/>
  <c r="BH40" i="4"/>
  <c r="Y39" i="4"/>
  <c r="AA39" i="4" s="1"/>
  <c r="BG40" i="4"/>
  <c r="G40" i="4"/>
  <c r="I41" i="4" s="1"/>
  <c r="BA39" i="4"/>
  <c r="AR39" i="4" l="1"/>
  <c r="AT39" i="4" s="1"/>
  <c r="AD39" i="4"/>
  <c r="AF39" i="4" s="1"/>
  <c r="AC39" i="4"/>
  <c r="AE39" i="4" s="1"/>
  <c r="AQ39" i="4"/>
  <c r="AS39" i="4"/>
  <c r="BN39" i="4" l="1"/>
  <c r="BO39" i="4" s="1"/>
  <c r="BM39" i="4"/>
  <c r="BR39" i="4"/>
  <c r="BS39" i="4" s="1"/>
  <c r="BQ39" i="4"/>
  <c r="BW39" i="4" l="1"/>
  <c r="C39" i="4" s="1"/>
  <c r="BU39" i="4"/>
  <c r="K39" i="4" s="1"/>
  <c r="BX39" i="4"/>
  <c r="D39" i="4" s="1"/>
  <c r="BV39" i="4"/>
  <c r="L39" i="4" s="1"/>
  <c r="AV40" i="4" l="1"/>
  <c r="T40" i="4"/>
  <c r="W40" i="4"/>
  <c r="N40" i="4"/>
  <c r="P41" i="4" s="1"/>
  <c r="R42" i="4" s="1"/>
  <c r="V40" i="4"/>
  <c r="AX40" i="4"/>
  <c r="AK40" i="4"/>
  <c r="BF40" i="4"/>
  <c r="AI40" i="4"/>
  <c r="BD40" i="4"/>
  <c r="F40" i="4"/>
  <c r="AH40" i="4"/>
  <c r="AW40" i="4"/>
  <c r="U40" i="4"/>
  <c r="M40" i="4"/>
  <c r="O41" i="4" s="1"/>
  <c r="Q42" i="4" s="1"/>
  <c r="X40" i="4"/>
  <c r="AU40" i="4"/>
  <c r="BA40" i="4" s="1"/>
  <c r="S40" i="4"/>
  <c r="BC40" i="4"/>
  <c r="AG40" i="4"/>
  <c r="E40" i="4"/>
  <c r="AJ40" i="4"/>
  <c r="BE40" i="4"/>
  <c r="AL40" i="4"/>
  <c r="AM40" i="4" l="1"/>
  <c r="AO40" i="4" s="1"/>
  <c r="AN40" i="4"/>
  <c r="AP40" i="4" s="1"/>
  <c r="BI40" i="4"/>
  <c r="BK40" i="4" s="1"/>
  <c r="BH41" i="4"/>
  <c r="H41" i="4"/>
  <c r="J42" i="4" s="1"/>
  <c r="BJ40" i="4"/>
  <c r="BL40" i="4" s="1"/>
  <c r="Z40" i="4"/>
  <c r="AB40" i="4" s="1"/>
  <c r="Y40" i="4"/>
  <c r="AA40" i="4" s="1"/>
  <c r="G41" i="4"/>
  <c r="I42" i="4" s="1"/>
  <c r="BG41" i="4"/>
  <c r="BB40" i="4"/>
  <c r="AD40" i="4" l="1"/>
  <c r="AF40" i="4" s="1"/>
  <c r="AR40" i="4"/>
  <c r="AT40" i="4" s="1"/>
  <c r="AC40" i="4"/>
  <c r="AE40" i="4" s="1"/>
  <c r="AQ40" i="4"/>
  <c r="AS40" i="4" s="1"/>
  <c r="BR40" i="4" l="1"/>
  <c r="BS40" i="4" s="1"/>
  <c r="BQ40" i="4"/>
  <c r="BN40" i="4"/>
  <c r="BO40" i="4" s="1"/>
  <c r="BM40" i="4"/>
  <c r="BW40" i="4" l="1"/>
  <c r="C40" i="4" s="1"/>
  <c r="BU40" i="4"/>
  <c r="K40" i="4" s="1"/>
  <c r="BX40" i="4"/>
  <c r="D40" i="4" s="1"/>
  <c r="BV40" i="4"/>
  <c r="L40" i="4" s="1"/>
  <c r="W41" i="4" l="1"/>
  <c r="AX41" i="4"/>
  <c r="V41" i="4"/>
  <c r="N41" i="4"/>
  <c r="P42" i="4" s="1"/>
  <c r="R43" i="4" s="1"/>
  <c r="T41" i="4"/>
  <c r="AV41" i="4"/>
  <c r="BB41" i="4" s="1"/>
  <c r="AI41" i="4"/>
  <c r="BD41" i="4"/>
  <c r="AH41" i="4"/>
  <c r="F41" i="4"/>
  <c r="AK41" i="4"/>
  <c r="BF41" i="4"/>
  <c r="AU41" i="4"/>
  <c r="S41" i="4"/>
  <c r="AW41" i="4"/>
  <c r="U41" i="4"/>
  <c r="M41" i="4"/>
  <c r="O42" i="4" s="1"/>
  <c r="Q43" i="4" s="1"/>
  <c r="X41" i="4"/>
  <c r="BE41" i="4"/>
  <c r="AL41" i="4"/>
  <c r="BC41" i="4"/>
  <c r="AG41" i="4"/>
  <c r="E41" i="4"/>
  <c r="AJ41" i="4"/>
  <c r="BJ41" i="4" l="1"/>
  <c r="BL41" i="4" s="1"/>
  <c r="AM41" i="4"/>
  <c r="AO41" i="4" s="1"/>
  <c r="Y41" i="4"/>
  <c r="AA41" i="4" s="1"/>
  <c r="H42" i="4"/>
  <c r="J43" i="4" s="1"/>
  <c r="BH42" i="4"/>
  <c r="BG42" i="4"/>
  <c r="G42" i="4"/>
  <c r="I43" i="4" s="1"/>
  <c r="BI41" i="4"/>
  <c r="BK41" i="4" s="1"/>
  <c r="BA41" i="4"/>
  <c r="AN41" i="4"/>
  <c r="AP41" i="4" s="1"/>
  <c r="Z41" i="4"/>
  <c r="AB41" i="4" s="1"/>
  <c r="AC41" i="4" l="1"/>
  <c r="AE41" i="4" s="1"/>
  <c r="AR41" i="4"/>
  <c r="AT41" i="4" s="1"/>
  <c r="AD41" i="4"/>
  <c r="AF41" i="4" s="1"/>
  <c r="AQ41" i="4"/>
  <c r="AS41" i="4"/>
  <c r="BM41" i="4" l="1"/>
  <c r="BN41" i="4"/>
  <c r="BO41" i="4" s="1"/>
  <c r="BR41" i="4"/>
  <c r="BS41" i="4" s="1"/>
  <c r="BQ41" i="4"/>
  <c r="BW41" i="4" l="1"/>
  <c r="C41" i="4" s="1"/>
  <c r="BU41" i="4"/>
  <c r="K41" i="4" s="1"/>
  <c r="BX41" i="4"/>
  <c r="D41" i="4" s="1"/>
  <c r="BV41" i="4"/>
  <c r="L41" i="4" s="1"/>
  <c r="AK42" i="4" l="1"/>
  <c r="BF42" i="4"/>
  <c r="AI42" i="4"/>
  <c r="AH42" i="4"/>
  <c r="BD42" i="4"/>
  <c r="F42" i="4"/>
  <c r="AW42" i="4"/>
  <c r="U42" i="4"/>
  <c r="M42" i="4"/>
  <c r="O43" i="4" s="1"/>
  <c r="Q44" i="4" s="1"/>
  <c r="X42" i="4"/>
  <c r="AU42" i="4"/>
  <c r="BA42" i="4" s="1"/>
  <c r="S42" i="4"/>
  <c r="AV42" i="4"/>
  <c r="BB42" i="4" s="1"/>
  <c r="T42" i="4"/>
  <c r="W42" i="4"/>
  <c r="AX42" i="4"/>
  <c r="N42" i="4"/>
  <c r="P43" i="4" s="1"/>
  <c r="R44" i="4" s="1"/>
  <c r="V42" i="4"/>
  <c r="BC42" i="4"/>
  <c r="AG42" i="4"/>
  <c r="E42" i="4"/>
  <c r="AJ42" i="4"/>
  <c r="BE42" i="4"/>
  <c r="AL42" i="4"/>
  <c r="Z42" i="4" l="1"/>
  <c r="AB42" i="4" s="1"/>
  <c r="BH43" i="4"/>
  <c r="H43" i="4"/>
  <c r="J44" i="4" s="1"/>
  <c r="G43" i="4"/>
  <c r="I44" i="4" s="1"/>
  <c r="BG43" i="4"/>
  <c r="AM42" i="4"/>
  <c r="AO42" i="4" s="1"/>
  <c r="Y42" i="4"/>
  <c r="AA42" i="4" s="1"/>
  <c r="AN42" i="4"/>
  <c r="AP42" i="4"/>
  <c r="BI42" i="4"/>
  <c r="BK42" i="4" s="1"/>
  <c r="BJ42" i="4"/>
  <c r="BL42" i="4" s="1"/>
  <c r="AD42" i="4" l="1"/>
  <c r="AF42" i="4" s="1"/>
  <c r="AQ42" i="4"/>
  <c r="AS42" i="4" s="1"/>
  <c r="AC42" i="4"/>
  <c r="AE42" i="4" s="1"/>
  <c r="AR42" i="4"/>
  <c r="AT42" i="4" s="1"/>
  <c r="BR42" i="4" l="1"/>
  <c r="BS42" i="4" s="1"/>
  <c r="BQ42" i="4"/>
  <c r="BM42" i="4"/>
  <c r="BN42" i="4"/>
  <c r="BO42" i="4" s="1"/>
  <c r="BW42" i="4" l="1"/>
  <c r="C42" i="4" s="1"/>
  <c r="BU42" i="4"/>
  <c r="K42" i="4" s="1"/>
  <c r="BX42" i="4"/>
  <c r="D42" i="4" s="1"/>
  <c r="BV42" i="4"/>
  <c r="L42" i="4" s="1"/>
  <c r="W43" i="4" l="1"/>
  <c r="AX43" i="4"/>
  <c r="V43" i="4"/>
  <c r="N43" i="4"/>
  <c r="P44" i="4" s="1"/>
  <c r="R45" i="4" s="1"/>
  <c r="T43" i="4"/>
  <c r="AV43" i="4"/>
  <c r="BB43" i="4" s="1"/>
  <c r="AI43" i="4"/>
  <c r="BD43" i="4"/>
  <c r="AH43" i="4"/>
  <c r="F43" i="4"/>
  <c r="AK43" i="4"/>
  <c r="BF43" i="4"/>
  <c r="AU43" i="4"/>
  <c r="S43" i="4"/>
  <c r="AW43" i="4"/>
  <c r="U43" i="4"/>
  <c r="M43" i="4"/>
  <c r="O44" i="4" s="1"/>
  <c r="Q45" i="4" s="1"/>
  <c r="X43" i="4"/>
  <c r="BE43" i="4"/>
  <c r="AL43" i="4"/>
  <c r="BC43" i="4"/>
  <c r="AG43" i="4"/>
  <c r="E43" i="4"/>
  <c r="AJ43" i="4"/>
  <c r="BJ43" i="4" l="1"/>
  <c r="BL43" i="4" s="1"/>
  <c r="BG44" i="4"/>
  <c r="G44" i="4"/>
  <c r="I45" i="4" s="1"/>
  <c r="Y43" i="4"/>
  <c r="AA43" i="4" s="1"/>
  <c r="H44" i="4"/>
  <c r="J45" i="4" s="1"/>
  <c r="BH44" i="4"/>
  <c r="AM43" i="4"/>
  <c r="AO43" i="4" s="1"/>
  <c r="BI43" i="4"/>
  <c r="BK43" i="4" s="1"/>
  <c r="BA43" i="4"/>
  <c r="AN43" i="4"/>
  <c r="AP43" i="4" s="1"/>
  <c r="Z43" i="4"/>
  <c r="AB43" i="4" s="1"/>
  <c r="AR43" i="4" l="1"/>
  <c r="AT43" i="4" s="1"/>
  <c r="AC43" i="4"/>
  <c r="AE43" i="4" s="1"/>
  <c r="AD43" i="4"/>
  <c r="AF43" i="4" s="1"/>
  <c r="AQ43" i="4"/>
  <c r="AS43" i="4" s="1"/>
  <c r="BM43" i="4" l="1"/>
  <c r="BN43" i="4"/>
  <c r="BO43" i="4" s="1"/>
  <c r="BR43" i="4"/>
  <c r="BS43" i="4" s="1"/>
  <c r="BQ43" i="4"/>
  <c r="BW43" i="4" l="1"/>
  <c r="C43" i="4" s="1"/>
  <c r="BU43" i="4"/>
  <c r="K43" i="4" s="1"/>
  <c r="BX43" i="4"/>
  <c r="D43" i="4" s="1"/>
  <c r="BV43" i="4"/>
  <c r="L43" i="4" s="1"/>
  <c r="AK44" i="4" l="1"/>
  <c r="BF44" i="4"/>
  <c r="AI44" i="4"/>
  <c r="BD44" i="4"/>
  <c r="F44" i="4"/>
  <c r="AH44" i="4"/>
  <c r="AW44" i="4"/>
  <c r="U44" i="4"/>
  <c r="M44" i="4"/>
  <c r="O45" i="4" s="1"/>
  <c r="Q46" i="4" s="1"/>
  <c r="X44" i="4"/>
  <c r="AU44" i="4"/>
  <c r="BA44" i="4" s="1"/>
  <c r="S44" i="4"/>
  <c r="AV44" i="4"/>
  <c r="T44" i="4"/>
  <c r="W44" i="4"/>
  <c r="V44" i="4"/>
  <c r="AX44" i="4"/>
  <c r="N44" i="4"/>
  <c r="P45" i="4" s="1"/>
  <c r="R46" i="4" s="1"/>
  <c r="BC44" i="4"/>
  <c r="AG44" i="4"/>
  <c r="E44" i="4"/>
  <c r="AJ44" i="4"/>
  <c r="BE44" i="4"/>
  <c r="AL44" i="4"/>
  <c r="BI44" i="4" l="1"/>
  <c r="BK44" i="4" s="1"/>
  <c r="Z44" i="4"/>
  <c r="AB44" i="4" s="1"/>
  <c r="AN44" i="4"/>
  <c r="AP44" i="4" s="1"/>
  <c r="G45" i="4"/>
  <c r="I46" i="4" s="1"/>
  <c r="BG45" i="4"/>
  <c r="AM44" i="4"/>
  <c r="AO44" i="4" s="1"/>
  <c r="Y44" i="4"/>
  <c r="AA44" i="4" s="1"/>
  <c r="BJ44" i="4"/>
  <c r="BL44" i="4" s="1"/>
  <c r="BB44" i="4"/>
  <c r="BH45" i="4"/>
  <c r="H45" i="4"/>
  <c r="J46" i="4" s="1"/>
  <c r="AQ44" i="4" l="1"/>
  <c r="AS44" i="4" s="1"/>
  <c r="AD44" i="4"/>
  <c r="AF44" i="4" s="1"/>
  <c r="AC44" i="4"/>
  <c r="AE44" i="4" s="1"/>
  <c r="AR44" i="4"/>
  <c r="AT44" i="4" s="1"/>
  <c r="BR44" i="4" l="1"/>
  <c r="BQ44" i="4"/>
  <c r="BN44" i="4"/>
  <c r="BO44" i="4" s="1"/>
  <c r="BM44" i="4"/>
  <c r="BS44" i="4"/>
  <c r="BW44" i="4" l="1"/>
  <c r="C44" i="4" s="1"/>
  <c r="BU44" i="4"/>
  <c r="K44" i="4" s="1"/>
  <c r="BX44" i="4"/>
  <c r="D44" i="4" s="1"/>
  <c r="BV44" i="4"/>
  <c r="L44" i="4" s="1"/>
  <c r="W45" i="4" l="1"/>
  <c r="AX45" i="4"/>
  <c r="V45" i="4"/>
  <c r="N45" i="4"/>
  <c r="P46" i="4" s="1"/>
  <c r="R47" i="4" s="1"/>
  <c r="AV45" i="4"/>
  <c r="T45" i="4"/>
  <c r="AU45" i="4"/>
  <c r="S45" i="4"/>
  <c r="AW45" i="4"/>
  <c r="U45" i="4"/>
  <c r="M45" i="4"/>
  <c r="O46" i="4" s="1"/>
  <c r="Q47" i="4" s="1"/>
  <c r="X45" i="4"/>
  <c r="AI45" i="4"/>
  <c r="BD45" i="4"/>
  <c r="AH45" i="4"/>
  <c r="F45" i="4"/>
  <c r="AK45" i="4"/>
  <c r="BF45" i="4"/>
  <c r="BE45" i="4"/>
  <c r="AL45" i="4"/>
  <c r="BC45" i="4"/>
  <c r="AG45" i="4"/>
  <c r="E45" i="4"/>
  <c r="AJ45" i="4"/>
  <c r="BB45" i="4" l="1"/>
  <c r="H46" i="4"/>
  <c r="J47" i="4" s="1"/>
  <c r="BH46" i="4"/>
  <c r="Y45" i="4"/>
  <c r="AA45" i="4" s="1"/>
  <c r="BG46" i="4"/>
  <c r="G46" i="4"/>
  <c r="I47" i="4" s="1"/>
  <c r="AN45" i="4"/>
  <c r="AP45" i="4" s="1"/>
  <c r="BA45" i="4"/>
  <c r="AM45" i="4"/>
  <c r="AO45" i="4" s="1"/>
  <c r="BJ45" i="4"/>
  <c r="BL45" i="4" s="1"/>
  <c r="Z45" i="4"/>
  <c r="AB45" i="4" s="1"/>
  <c r="BI45" i="4"/>
  <c r="BK45" i="4" s="1"/>
  <c r="AC45" i="4" l="1"/>
  <c r="AE45" i="4" s="1"/>
  <c r="AR45" i="4"/>
  <c r="AT45" i="4" s="1"/>
  <c r="AD45" i="4"/>
  <c r="AF45" i="4" s="1"/>
  <c r="AQ45" i="4"/>
  <c r="AS45" i="4" s="1"/>
  <c r="BR45" i="4" l="1"/>
  <c r="BS45" i="4" s="1"/>
  <c r="BQ45" i="4"/>
  <c r="BM45" i="4"/>
  <c r="BN45" i="4"/>
  <c r="BO45" i="4" s="1"/>
  <c r="BW45" i="4" l="1"/>
  <c r="C45" i="4" s="1"/>
  <c r="BU45" i="4"/>
  <c r="K45" i="4" s="1"/>
  <c r="BX45" i="4"/>
  <c r="D45" i="4" s="1"/>
  <c r="BV45" i="4"/>
  <c r="L45" i="4" s="1"/>
  <c r="AV46" i="4" l="1"/>
  <c r="T46" i="4"/>
  <c r="W46" i="4"/>
  <c r="V46" i="4"/>
  <c r="AX46" i="4"/>
  <c r="N46" i="4"/>
  <c r="P47" i="4" s="1"/>
  <c r="R48" i="4" s="1"/>
  <c r="AW46" i="4"/>
  <c r="U46" i="4"/>
  <c r="M46" i="4"/>
  <c r="O47" i="4" s="1"/>
  <c r="Q48" i="4" s="1"/>
  <c r="X46" i="4"/>
  <c r="AU46" i="4"/>
  <c r="BA46" i="4" s="1"/>
  <c r="S46" i="4"/>
  <c r="AK46" i="4"/>
  <c r="BF46" i="4"/>
  <c r="AI46" i="4"/>
  <c r="BD46" i="4"/>
  <c r="F46" i="4"/>
  <c r="AH46" i="4"/>
  <c r="BC46" i="4"/>
  <c r="AG46" i="4"/>
  <c r="E46" i="4"/>
  <c r="AJ46" i="4"/>
  <c r="BE46" i="4"/>
  <c r="AL46" i="4"/>
  <c r="AN46" i="4" l="1"/>
  <c r="AP46" i="4" s="1"/>
  <c r="G47" i="4"/>
  <c r="I48" i="4" s="1"/>
  <c r="BG47" i="4"/>
  <c r="BH47" i="4"/>
  <c r="H47" i="4"/>
  <c r="J48" i="4" s="1"/>
  <c r="AM46" i="4"/>
  <c r="AO46" i="4" s="1"/>
  <c r="BJ46" i="4"/>
  <c r="BL46" i="4" s="1"/>
  <c r="Y46" i="4"/>
  <c r="AA46" i="4" s="1"/>
  <c r="BI46" i="4"/>
  <c r="BK46" i="4" s="1"/>
  <c r="Z46" i="4"/>
  <c r="AB46" i="4" s="1"/>
  <c r="BB46" i="4"/>
  <c r="AC46" i="4" l="1"/>
  <c r="AE46" i="4" s="1"/>
  <c r="AQ46" i="4"/>
  <c r="AS46" i="4" s="1"/>
  <c r="AD46" i="4"/>
  <c r="AF46" i="4" s="1"/>
  <c r="AR46" i="4"/>
  <c r="AT46" i="4" s="1"/>
  <c r="BR46" i="4" l="1"/>
  <c r="BQ46" i="4"/>
  <c r="BN46" i="4"/>
  <c r="BO46" i="4" s="1"/>
  <c r="BM46" i="4"/>
  <c r="BS46" i="4"/>
  <c r="BW46" i="4" l="1"/>
  <c r="C46" i="4" s="1"/>
  <c r="BU46" i="4"/>
  <c r="K46" i="4" s="1"/>
  <c r="BX46" i="4"/>
  <c r="D46" i="4" s="1"/>
  <c r="BV46" i="4"/>
  <c r="L46" i="4" s="1"/>
  <c r="W47" i="4" l="1"/>
  <c r="AX47" i="4"/>
  <c r="V47" i="4"/>
  <c r="N47" i="4"/>
  <c r="P48" i="4" s="1"/>
  <c r="R49" i="4" s="1"/>
  <c r="T47" i="4"/>
  <c r="AV47" i="4"/>
  <c r="BB47" i="4" s="1"/>
  <c r="AI47" i="4"/>
  <c r="BD47" i="4"/>
  <c r="AH47" i="4"/>
  <c r="F47" i="4"/>
  <c r="AK47" i="4"/>
  <c r="BF47" i="4"/>
  <c r="AU47" i="4"/>
  <c r="S47" i="4"/>
  <c r="AW47" i="4"/>
  <c r="U47" i="4"/>
  <c r="M47" i="4"/>
  <c r="O48" i="4" s="1"/>
  <c r="Q49" i="4" s="1"/>
  <c r="X47" i="4"/>
  <c r="BE47" i="4"/>
  <c r="AL47" i="4"/>
  <c r="BC47" i="4"/>
  <c r="AG47" i="4"/>
  <c r="E47" i="4"/>
  <c r="AJ47" i="4"/>
  <c r="BG48" i="4" l="1"/>
  <c r="G48" i="4"/>
  <c r="I49" i="4" s="1"/>
  <c r="AM47" i="4"/>
  <c r="AO47" i="4" s="1"/>
  <c r="BJ47" i="4"/>
  <c r="BL47" i="4" s="1"/>
  <c r="Y47" i="4"/>
  <c r="AA47" i="4" s="1"/>
  <c r="H48" i="4"/>
  <c r="J49" i="4" s="1"/>
  <c r="BH48" i="4"/>
  <c r="BI47" i="4"/>
  <c r="BK47" i="4" s="1"/>
  <c r="BA47" i="4"/>
  <c r="AN47" i="4"/>
  <c r="AP47" i="4" s="1"/>
  <c r="Z47" i="4"/>
  <c r="AB47" i="4" s="1"/>
  <c r="AD47" i="4" l="1"/>
  <c r="AF47" i="4" s="1"/>
  <c r="AQ47" i="4"/>
  <c r="AS47" i="4" s="1"/>
  <c r="AR47" i="4"/>
  <c r="AT47" i="4" s="1"/>
  <c r="AC47" i="4"/>
  <c r="AE47" i="4" s="1"/>
  <c r="BR47" i="4" l="1"/>
  <c r="BS47" i="4" s="1"/>
  <c r="BQ47" i="4"/>
  <c r="BM47" i="4"/>
  <c r="BN47" i="4"/>
  <c r="BO47" i="4" s="1"/>
  <c r="BX47" i="4" l="1"/>
  <c r="D47" i="4" s="1"/>
  <c r="BV47" i="4"/>
  <c r="L47" i="4" s="1"/>
  <c r="BW47" i="4"/>
  <c r="C47" i="4" s="1"/>
  <c r="BU47" i="4"/>
  <c r="K47" i="4" s="1"/>
  <c r="AW48" i="4" l="1"/>
  <c r="U48" i="4"/>
  <c r="M48" i="4"/>
  <c r="O49" i="4" s="1"/>
  <c r="Q50" i="4" s="1"/>
  <c r="X48" i="4"/>
  <c r="AU48" i="4"/>
  <c r="BA48" i="4" s="1"/>
  <c r="S48" i="4"/>
  <c r="BC48" i="4"/>
  <c r="AG48" i="4"/>
  <c r="E48" i="4"/>
  <c r="AJ48" i="4"/>
  <c r="BE48" i="4"/>
  <c r="AL48" i="4"/>
  <c r="AV48" i="4"/>
  <c r="BB48" i="4" s="1"/>
  <c r="T48" i="4"/>
  <c r="W48" i="4"/>
  <c r="N48" i="4"/>
  <c r="P49" i="4" s="1"/>
  <c r="R50" i="4" s="1"/>
  <c r="V48" i="4"/>
  <c r="AX48" i="4"/>
  <c r="AK48" i="4"/>
  <c r="BF48" i="4"/>
  <c r="AI48" i="4"/>
  <c r="BD48" i="4"/>
  <c r="F48" i="4"/>
  <c r="AH48" i="4"/>
  <c r="BH49" i="4" l="1"/>
  <c r="H49" i="4"/>
  <c r="J50" i="4" s="1"/>
  <c r="G49" i="4"/>
  <c r="I50" i="4" s="1"/>
  <c r="BG49" i="4"/>
  <c r="AN48" i="4"/>
  <c r="AP48" i="4" s="1"/>
  <c r="AM48" i="4"/>
  <c r="AO48" i="4" s="1"/>
  <c r="BI48" i="4"/>
  <c r="BK48" i="4" s="1"/>
  <c r="BJ48" i="4"/>
  <c r="BL48" i="4" s="1"/>
  <c r="Z48" i="4"/>
  <c r="AB48" i="4" s="1"/>
  <c r="Y48" i="4"/>
  <c r="AA48" i="4" s="1"/>
  <c r="AC48" i="4" l="1"/>
  <c r="AE48" i="4" s="1"/>
  <c r="AQ48" i="4"/>
  <c r="AS48" i="4" s="1"/>
  <c r="AD48" i="4"/>
  <c r="AF48" i="4" s="1"/>
  <c r="AR48" i="4"/>
  <c r="AT48" i="4" s="1"/>
  <c r="BR48" i="4" l="1"/>
  <c r="BQ48" i="4"/>
  <c r="BN48" i="4"/>
  <c r="BO48" i="4" s="1"/>
  <c r="BM48" i="4"/>
  <c r="BS48" i="4"/>
  <c r="BW48" i="4" l="1"/>
  <c r="C48" i="4" s="1"/>
  <c r="BU48" i="4"/>
  <c r="K48" i="4" s="1"/>
  <c r="BX48" i="4"/>
  <c r="D48" i="4" s="1"/>
  <c r="BV48" i="4"/>
  <c r="L48" i="4" s="1"/>
  <c r="W49" i="4" l="1"/>
  <c r="AX49" i="4"/>
  <c r="V49" i="4"/>
  <c r="N49" i="4"/>
  <c r="P50" i="4" s="1"/>
  <c r="R51" i="4" s="1"/>
  <c r="T49" i="4"/>
  <c r="AV49" i="4"/>
  <c r="BB49" i="4" s="1"/>
  <c r="AI49" i="4"/>
  <c r="BD49" i="4"/>
  <c r="AH49" i="4"/>
  <c r="F49" i="4"/>
  <c r="AK49" i="4"/>
  <c r="BF49" i="4"/>
  <c r="AU49" i="4"/>
  <c r="S49" i="4"/>
  <c r="AW49" i="4"/>
  <c r="U49" i="4"/>
  <c r="M49" i="4"/>
  <c r="O50" i="4" s="1"/>
  <c r="Q51" i="4" s="1"/>
  <c r="X49" i="4"/>
  <c r="BE49" i="4"/>
  <c r="AL49" i="4"/>
  <c r="BC49" i="4"/>
  <c r="AG49" i="4"/>
  <c r="E49" i="4"/>
  <c r="AJ49" i="4"/>
  <c r="BG50" i="4" l="1"/>
  <c r="G50" i="4"/>
  <c r="I51" i="4" s="1"/>
  <c r="AM49" i="4"/>
  <c r="AO49" i="4" s="1"/>
  <c r="BJ49" i="4"/>
  <c r="BL49" i="4" s="1"/>
  <c r="Y49" i="4"/>
  <c r="AA49" i="4" s="1"/>
  <c r="H50" i="4"/>
  <c r="J51" i="4" s="1"/>
  <c r="BH50" i="4"/>
  <c r="BI49" i="4"/>
  <c r="BK49" i="4" s="1"/>
  <c r="BA49" i="4"/>
  <c r="AN49" i="4"/>
  <c r="AP49" i="4" s="1"/>
  <c r="Z49" i="4"/>
  <c r="AB49" i="4" s="1"/>
  <c r="AD49" i="4" l="1"/>
  <c r="AF49" i="4" s="1"/>
  <c r="AQ49" i="4"/>
  <c r="AS49" i="4" s="1"/>
  <c r="AR49" i="4"/>
  <c r="AT49" i="4" s="1"/>
  <c r="AC49" i="4"/>
  <c r="AE49" i="4" s="1"/>
  <c r="BR49" i="4" l="1"/>
  <c r="BS49" i="4" s="1"/>
  <c r="BQ49" i="4"/>
  <c r="BN49" i="4"/>
  <c r="BO49" i="4" s="1"/>
  <c r="BM49" i="4"/>
  <c r="BW49" i="4" l="1"/>
  <c r="C49" i="4" s="1"/>
  <c r="BU49" i="4"/>
  <c r="K49" i="4" s="1"/>
  <c r="BX49" i="4"/>
  <c r="D49" i="4" s="1"/>
  <c r="BV49" i="4"/>
  <c r="L49" i="4" s="1"/>
  <c r="AV50" i="4" l="1"/>
  <c r="T50" i="4"/>
  <c r="W50" i="4"/>
  <c r="AX50" i="4"/>
  <c r="N50" i="4"/>
  <c r="P51" i="4" s="1"/>
  <c r="R52" i="4" s="1"/>
  <c r="V50" i="4"/>
  <c r="AK50" i="4"/>
  <c r="BF50" i="4"/>
  <c r="AI50" i="4"/>
  <c r="AH50" i="4"/>
  <c r="BD50" i="4"/>
  <c r="F50" i="4"/>
  <c r="AW50" i="4"/>
  <c r="U50" i="4"/>
  <c r="M50" i="4"/>
  <c r="O51" i="4" s="1"/>
  <c r="Q52" i="4" s="1"/>
  <c r="X50" i="4"/>
  <c r="AU50" i="4"/>
  <c r="BA50" i="4" s="1"/>
  <c r="S50" i="4"/>
  <c r="BC50" i="4"/>
  <c r="AG50" i="4"/>
  <c r="E50" i="4"/>
  <c r="AJ50" i="4"/>
  <c r="BE50" i="4"/>
  <c r="AL50" i="4"/>
  <c r="BG51" i="4" l="1"/>
  <c r="G51" i="4"/>
  <c r="I52" i="4" s="1"/>
  <c r="BJ50" i="4"/>
  <c r="BL50" i="4" s="1"/>
  <c r="AM50" i="4"/>
  <c r="AO50" i="4" s="1"/>
  <c r="BH51" i="4"/>
  <c r="H51" i="4"/>
  <c r="J52" i="4" s="1"/>
  <c r="BI50" i="4"/>
  <c r="BK50" i="4" s="1"/>
  <c r="Y50" i="4"/>
  <c r="AA50" i="4" s="1"/>
  <c r="AN50" i="4"/>
  <c r="AP50" i="4" s="1"/>
  <c r="Z50" i="4"/>
  <c r="AB50" i="4" s="1"/>
  <c r="BB50" i="4"/>
  <c r="AQ50" i="4" l="1"/>
  <c r="AS50" i="4" s="1"/>
  <c r="AD50" i="4"/>
  <c r="AF50" i="4" s="1"/>
  <c r="AC50" i="4"/>
  <c r="AE50" i="4" s="1"/>
  <c r="AR50" i="4"/>
  <c r="AT50" i="4"/>
  <c r="BN50" i="4" l="1"/>
  <c r="BO50" i="4" s="1"/>
  <c r="BM50" i="4"/>
  <c r="BR50" i="4"/>
  <c r="BS50" i="4" s="1"/>
  <c r="BQ50" i="4"/>
  <c r="BW50" i="4" l="1"/>
  <c r="C50" i="4" s="1"/>
  <c r="BU50" i="4"/>
  <c r="K50" i="4" s="1"/>
  <c r="BX50" i="4"/>
  <c r="D50" i="4" s="1"/>
  <c r="BV50" i="4"/>
  <c r="L50" i="4" s="1"/>
  <c r="AX51" i="4" l="1"/>
  <c r="V51" i="4"/>
  <c r="N51" i="4"/>
  <c r="P52" i="4" s="1"/>
  <c r="R53" i="4" s="1"/>
  <c r="W51" i="4"/>
  <c r="AV51" i="4"/>
  <c r="BB51" i="4" s="1"/>
  <c r="T51" i="4"/>
  <c r="AI51" i="4"/>
  <c r="BD51" i="4"/>
  <c r="AH51" i="4"/>
  <c r="AK51" i="4"/>
  <c r="BF51" i="4"/>
  <c r="F51" i="4"/>
  <c r="AU51" i="4"/>
  <c r="BA51" i="4" s="1"/>
  <c r="AW51" i="4"/>
  <c r="U51" i="4"/>
  <c r="X51" i="4"/>
  <c r="M51" i="4"/>
  <c r="O52" i="4" s="1"/>
  <c r="Q53" i="4" s="1"/>
  <c r="S51" i="4"/>
  <c r="BE51" i="4"/>
  <c r="AL51" i="4"/>
  <c r="BC51" i="4"/>
  <c r="AG51" i="4"/>
  <c r="AJ51" i="4"/>
  <c r="E51" i="4"/>
  <c r="AN51" i="4" l="1"/>
  <c r="AP51" i="4" s="1"/>
  <c r="BG52" i="4"/>
  <c r="G52" i="4"/>
  <c r="I53" i="4" s="1"/>
  <c r="H52" i="4"/>
  <c r="J53" i="4" s="1"/>
  <c r="BH52" i="4"/>
  <c r="BJ51" i="4"/>
  <c r="BL51" i="4" s="1"/>
  <c r="BI51" i="4"/>
  <c r="BK51" i="4" s="1"/>
  <c r="AM51" i="4"/>
  <c r="AO51" i="4" s="1"/>
  <c r="Y51" i="4"/>
  <c r="AA51" i="4" s="1"/>
  <c r="Z51" i="4"/>
  <c r="AB51" i="4" s="1"/>
  <c r="AD51" i="4" l="1"/>
  <c r="AF51" i="4" s="1"/>
  <c r="AR51" i="4"/>
  <c r="AT51" i="4" s="1"/>
  <c r="AQ51" i="4"/>
  <c r="AS51" i="4" s="1"/>
  <c r="AC51" i="4"/>
  <c r="AE51" i="4" s="1"/>
  <c r="BR51" i="4" l="1"/>
  <c r="BS51" i="4" s="1"/>
  <c r="BQ51" i="4"/>
  <c r="BM51" i="4"/>
  <c r="BN51" i="4"/>
  <c r="BO51" i="4" s="1"/>
  <c r="BW51" i="4" l="1"/>
  <c r="C51" i="4" s="1"/>
  <c r="BU51" i="4"/>
  <c r="K51" i="4" s="1"/>
  <c r="BX51" i="4"/>
  <c r="D51" i="4" s="1"/>
  <c r="BV51" i="4"/>
  <c r="L51" i="4" s="1"/>
  <c r="AV52" i="4" l="1"/>
  <c r="T52" i="4"/>
  <c r="W52" i="4"/>
  <c r="AX52" i="4"/>
  <c r="N52" i="4"/>
  <c r="P53" i="4" s="1"/>
  <c r="R54" i="4" s="1"/>
  <c r="V52" i="4"/>
  <c r="AW52" i="4"/>
  <c r="U52" i="4"/>
  <c r="M52" i="4"/>
  <c r="O53" i="4" s="1"/>
  <c r="Q54" i="4" s="1"/>
  <c r="X52" i="4"/>
  <c r="AU52" i="4"/>
  <c r="BA52" i="4" s="1"/>
  <c r="S52" i="4"/>
  <c r="AK52" i="4"/>
  <c r="BF52" i="4"/>
  <c r="AI52" i="4"/>
  <c r="AH52" i="4"/>
  <c r="BD52" i="4"/>
  <c r="F52" i="4"/>
  <c r="BC52" i="4"/>
  <c r="AG52" i="4"/>
  <c r="E52" i="4"/>
  <c r="AJ52" i="4"/>
  <c r="BE52" i="4"/>
  <c r="AL52" i="4"/>
  <c r="G53" i="4" l="1"/>
  <c r="I54" i="4" s="1"/>
  <c r="BG53" i="4"/>
  <c r="AM52" i="4"/>
  <c r="AO52" i="4" s="1"/>
  <c r="AN52" i="4"/>
  <c r="AP52" i="4" s="1"/>
  <c r="Y52" i="4"/>
  <c r="AA52" i="4" s="1"/>
  <c r="BI52" i="4"/>
  <c r="BK52" i="4" s="1"/>
  <c r="BH53" i="4"/>
  <c r="H53" i="4"/>
  <c r="J54" i="4" s="1"/>
  <c r="Z52" i="4"/>
  <c r="AB52" i="4" s="1"/>
  <c r="BJ52" i="4"/>
  <c r="BL52" i="4" s="1"/>
  <c r="BB52" i="4"/>
  <c r="AD52" i="4" l="1"/>
  <c r="AF52" i="4" s="1"/>
  <c r="AQ52" i="4"/>
  <c r="AS52" i="4" s="1"/>
  <c r="AC52" i="4"/>
  <c r="AE52" i="4" s="1"/>
  <c r="AR52" i="4"/>
  <c r="AT52" i="4" s="1"/>
  <c r="BR52" i="4" l="1"/>
  <c r="BS52" i="4" s="1"/>
  <c r="BQ52" i="4"/>
  <c r="BN52" i="4"/>
  <c r="BO52" i="4" s="1"/>
  <c r="BM52" i="4"/>
  <c r="BW52" i="4" l="1"/>
  <c r="C52" i="4" s="1"/>
  <c r="BU52" i="4"/>
  <c r="K52" i="4" s="1"/>
  <c r="BX52" i="4"/>
  <c r="D52" i="4" s="1"/>
  <c r="BV52" i="4"/>
  <c r="L52" i="4" s="1"/>
  <c r="AI53" i="4" l="1"/>
  <c r="BD53" i="4"/>
  <c r="AH53" i="4"/>
  <c r="F53" i="4"/>
  <c r="AK53" i="4"/>
  <c r="BF53" i="4"/>
  <c r="AU53" i="4"/>
  <c r="S53" i="4"/>
  <c r="AW53" i="4"/>
  <c r="U53" i="4"/>
  <c r="M53" i="4"/>
  <c r="O54" i="4" s="1"/>
  <c r="Q55" i="4" s="1"/>
  <c r="X53" i="4"/>
  <c r="W53" i="4"/>
  <c r="AX53" i="4"/>
  <c r="V53" i="4"/>
  <c r="N53" i="4"/>
  <c r="P54" i="4" s="1"/>
  <c r="R55" i="4" s="1"/>
  <c r="T53" i="4"/>
  <c r="AV53" i="4"/>
  <c r="BB53" i="4" s="1"/>
  <c r="BE53" i="4"/>
  <c r="AL53" i="4"/>
  <c r="BC53" i="4"/>
  <c r="AG53" i="4"/>
  <c r="E53" i="4"/>
  <c r="AJ53" i="4"/>
  <c r="BI53" i="4" l="1"/>
  <c r="BK53" i="4" s="1"/>
  <c r="Z53" i="4"/>
  <c r="AB53" i="4" s="1"/>
  <c r="Y53" i="4"/>
  <c r="AA53" i="4" s="1"/>
  <c r="H54" i="4"/>
  <c r="J55" i="4" s="1"/>
  <c r="BH54" i="4"/>
  <c r="BA53" i="4"/>
  <c r="AN53" i="4"/>
  <c r="AP53" i="4" s="1"/>
  <c r="BG54" i="4"/>
  <c r="G54" i="4"/>
  <c r="I55" i="4" s="1"/>
  <c r="AM53" i="4"/>
  <c r="AO53" i="4"/>
  <c r="BJ53" i="4"/>
  <c r="BL53" i="4" s="1"/>
  <c r="AR53" i="4" l="1"/>
  <c r="AT53" i="4" s="1"/>
  <c r="AD53" i="4"/>
  <c r="AF53" i="4" s="1"/>
  <c r="AC53" i="4"/>
  <c r="AE53" i="4" s="1"/>
  <c r="AQ53" i="4"/>
  <c r="AS53" i="4" s="1"/>
  <c r="BN53" i="4" l="1"/>
  <c r="BO53" i="4" s="1"/>
  <c r="BM53" i="4"/>
  <c r="BR53" i="4"/>
  <c r="BS53" i="4" s="1"/>
  <c r="BQ53" i="4"/>
  <c r="BW53" i="4" l="1"/>
  <c r="C53" i="4" s="1"/>
  <c r="BU53" i="4"/>
  <c r="K53" i="4" s="1"/>
  <c r="BX53" i="4"/>
  <c r="D53" i="4" s="1"/>
  <c r="BV53" i="4"/>
  <c r="L53" i="4" s="1"/>
  <c r="AV54" i="4" l="1"/>
  <c r="T54" i="4"/>
  <c r="W54" i="4"/>
  <c r="V54" i="4"/>
  <c r="AX54" i="4"/>
  <c r="N54" i="4"/>
  <c r="P55" i="4" s="1"/>
  <c r="R56" i="4" s="1"/>
  <c r="AK54" i="4"/>
  <c r="BF54" i="4"/>
  <c r="AI54" i="4"/>
  <c r="BD54" i="4"/>
  <c r="F54" i="4"/>
  <c r="AH54" i="4"/>
  <c r="AW54" i="4"/>
  <c r="U54" i="4"/>
  <c r="M54" i="4"/>
  <c r="O55" i="4" s="1"/>
  <c r="Q56" i="4" s="1"/>
  <c r="X54" i="4"/>
  <c r="AU54" i="4"/>
  <c r="BA54" i="4" s="1"/>
  <c r="S54" i="4"/>
  <c r="BC54" i="4"/>
  <c r="AG54" i="4"/>
  <c r="E54" i="4"/>
  <c r="AJ54" i="4"/>
  <c r="BE54" i="4"/>
  <c r="AL54" i="4"/>
  <c r="AM54" i="4" l="1"/>
  <c r="AO54" i="4" s="1"/>
  <c r="AN54" i="4"/>
  <c r="AP54" i="4" s="1"/>
  <c r="BI54" i="4"/>
  <c r="BK54" i="4" s="1"/>
  <c r="BH55" i="4"/>
  <c r="H55" i="4"/>
  <c r="J56" i="4" s="1"/>
  <c r="Y54" i="4"/>
  <c r="AA54" i="4" s="1"/>
  <c r="BJ54" i="4"/>
  <c r="BL54" i="4" s="1"/>
  <c r="Z54" i="4"/>
  <c r="AB54" i="4" s="1"/>
  <c r="G55" i="4"/>
  <c r="I56" i="4" s="1"/>
  <c r="BG55" i="4"/>
  <c r="BB54" i="4"/>
  <c r="AC54" i="4" l="1"/>
  <c r="AE54" i="4" s="1"/>
  <c r="AR54" i="4"/>
  <c r="AT54" i="4" s="1"/>
  <c r="AQ54" i="4"/>
  <c r="AS54" i="4" s="1"/>
  <c r="AD54" i="4"/>
  <c r="AF54" i="4" s="1"/>
  <c r="BN54" i="4" l="1"/>
  <c r="BM54" i="4"/>
  <c r="BR54" i="4"/>
  <c r="BS54" i="4" s="1"/>
  <c r="BQ54" i="4"/>
  <c r="BO54" i="4"/>
  <c r="BW54" i="4" l="1"/>
  <c r="C54" i="4" s="1"/>
  <c r="BU54" i="4"/>
  <c r="K54" i="4" s="1"/>
  <c r="BX54" i="4"/>
  <c r="D54" i="4" s="1"/>
  <c r="BV54" i="4"/>
  <c r="L54" i="4" s="1"/>
  <c r="W55" i="4" l="1"/>
  <c r="AX55" i="4"/>
  <c r="V55" i="4"/>
  <c r="N55" i="4"/>
  <c r="P56" i="4" s="1"/>
  <c r="R57" i="4" s="1"/>
  <c r="AV55" i="4"/>
  <c r="T55" i="4"/>
  <c r="AI55" i="4"/>
  <c r="BD55" i="4"/>
  <c r="AH55" i="4"/>
  <c r="F55" i="4"/>
  <c r="AK55" i="4"/>
  <c r="BF55" i="4"/>
  <c r="AU55" i="4"/>
  <c r="BA55" i="4" s="1"/>
  <c r="S55" i="4"/>
  <c r="AW55" i="4"/>
  <c r="U55" i="4"/>
  <c r="M55" i="4"/>
  <c r="O56" i="4" s="1"/>
  <c r="Q57" i="4" s="1"/>
  <c r="X55" i="4"/>
  <c r="BE55" i="4"/>
  <c r="AL55" i="4"/>
  <c r="BC55" i="4"/>
  <c r="AG55" i="4"/>
  <c r="E55" i="4"/>
  <c r="AJ55" i="4"/>
  <c r="BJ55" i="4" l="1"/>
  <c r="BL55" i="4" s="1"/>
  <c r="BI55" i="4"/>
  <c r="BK55" i="4" s="1"/>
  <c r="BG56" i="4"/>
  <c r="G56" i="4"/>
  <c r="I57" i="4" s="1"/>
  <c r="AM55" i="4"/>
  <c r="AO55" i="4" s="1"/>
  <c r="Y55" i="4"/>
  <c r="AA55" i="4" s="1"/>
  <c r="H56" i="4"/>
  <c r="J57" i="4" s="1"/>
  <c r="BH56" i="4"/>
  <c r="Z55" i="4"/>
  <c r="AB55" i="4" s="1"/>
  <c r="AN55" i="4"/>
  <c r="AP55" i="4" s="1"/>
  <c r="BB55" i="4"/>
  <c r="AR55" i="4" l="1"/>
  <c r="AT55" i="4" s="1"/>
  <c r="AC55" i="4"/>
  <c r="AE55" i="4" s="1"/>
  <c r="AQ55" i="4"/>
  <c r="AS55" i="4" s="1"/>
  <c r="AD55" i="4"/>
  <c r="AF55" i="4" s="1"/>
  <c r="BR55" i="4" l="1"/>
  <c r="BS55" i="4" s="1"/>
  <c r="BQ55" i="4"/>
  <c r="BM55" i="4"/>
  <c r="BN55" i="4"/>
  <c r="BO55" i="4" s="1"/>
  <c r="BW55" i="4" l="1"/>
  <c r="C55" i="4" s="1"/>
  <c r="BU55" i="4"/>
  <c r="K55" i="4" s="1"/>
  <c r="BX55" i="4"/>
  <c r="D55" i="4" s="1"/>
  <c r="BV55" i="4"/>
  <c r="L55" i="4" s="1"/>
  <c r="AV56" i="4" l="1"/>
  <c r="T56" i="4"/>
  <c r="W56" i="4"/>
  <c r="V56" i="4"/>
  <c r="AX56" i="4"/>
  <c r="N56" i="4"/>
  <c r="P57" i="4" s="1"/>
  <c r="R58" i="4" s="1"/>
  <c r="AK56" i="4"/>
  <c r="BF56" i="4"/>
  <c r="AI56" i="4"/>
  <c r="BD56" i="4"/>
  <c r="F56" i="4"/>
  <c r="AH56" i="4"/>
  <c r="AW56" i="4"/>
  <c r="U56" i="4"/>
  <c r="M56" i="4"/>
  <c r="O57" i="4" s="1"/>
  <c r="Q58" i="4" s="1"/>
  <c r="X56" i="4"/>
  <c r="AU56" i="4"/>
  <c r="S56" i="4"/>
  <c r="BC56" i="4"/>
  <c r="AG56" i="4"/>
  <c r="E56" i="4"/>
  <c r="AJ56" i="4"/>
  <c r="BE56" i="4"/>
  <c r="AL56" i="4"/>
  <c r="AM56" i="4" l="1"/>
  <c r="AO56" i="4" s="1"/>
  <c r="AN56" i="4"/>
  <c r="AP56" i="4" s="1"/>
  <c r="BI56" i="4"/>
  <c r="BK56" i="4" s="1"/>
  <c r="BH57" i="4"/>
  <c r="H57" i="4"/>
  <c r="J58" i="4" s="1"/>
  <c r="BA56" i="4"/>
  <c r="Y56" i="4"/>
  <c r="AA56" i="4" s="1"/>
  <c r="BJ56" i="4"/>
  <c r="BL56" i="4" s="1"/>
  <c r="Z56" i="4"/>
  <c r="AB56" i="4" s="1"/>
  <c r="G57" i="4"/>
  <c r="I58" i="4" s="1"/>
  <c r="BG57" i="4"/>
  <c r="BB56" i="4"/>
  <c r="AC56" i="4" l="1"/>
  <c r="AE56" i="4" s="1"/>
  <c r="AR56" i="4"/>
  <c r="AT56" i="4" s="1"/>
  <c r="AD56" i="4"/>
  <c r="AF56" i="4" s="1"/>
  <c r="AQ56" i="4"/>
  <c r="AS56" i="4" s="1"/>
  <c r="BN56" i="4" l="1"/>
  <c r="BO56" i="4" s="1"/>
  <c r="BM56" i="4"/>
  <c r="BR56" i="4"/>
  <c r="BS56" i="4" s="1"/>
  <c r="BQ56" i="4"/>
  <c r="BW56" i="4" l="1"/>
  <c r="C56" i="4" s="1"/>
  <c r="BU56" i="4"/>
  <c r="K56" i="4" s="1"/>
  <c r="BX56" i="4"/>
  <c r="D56" i="4" s="1"/>
  <c r="BV56" i="4"/>
  <c r="L56" i="4" s="1"/>
  <c r="W57" i="4" l="1"/>
  <c r="AX57" i="4"/>
  <c r="V57" i="4"/>
  <c r="N57" i="4"/>
  <c r="P58" i="4" s="1"/>
  <c r="R59" i="4" s="1"/>
  <c r="T57" i="4"/>
  <c r="AV57" i="4"/>
  <c r="BB57" i="4" s="1"/>
  <c r="AU57" i="4"/>
  <c r="S57" i="4"/>
  <c r="AW57" i="4"/>
  <c r="U57" i="4"/>
  <c r="M57" i="4"/>
  <c r="O58" i="4" s="1"/>
  <c r="Q59" i="4" s="1"/>
  <c r="X57" i="4"/>
  <c r="AI57" i="4"/>
  <c r="BD57" i="4"/>
  <c r="AH57" i="4"/>
  <c r="F57" i="4"/>
  <c r="AK57" i="4"/>
  <c r="BF57" i="4"/>
  <c r="BE57" i="4"/>
  <c r="AL57" i="4"/>
  <c r="BC57" i="4"/>
  <c r="AG57" i="4"/>
  <c r="E57" i="4"/>
  <c r="AJ57" i="4"/>
  <c r="BA57" i="4" l="1"/>
  <c r="BJ57" i="4"/>
  <c r="BL57" i="4" s="1"/>
  <c r="BI57" i="4"/>
  <c r="BK57" i="4" s="1"/>
  <c r="H58" i="4"/>
  <c r="J59" i="4" s="1"/>
  <c r="BH58" i="4"/>
  <c r="Y57" i="4"/>
  <c r="AA57" i="4" s="1"/>
  <c r="AN57" i="4"/>
  <c r="AP57" i="4" s="1"/>
  <c r="BG58" i="4"/>
  <c r="G58" i="4"/>
  <c r="I59" i="4" s="1"/>
  <c r="AM57" i="4"/>
  <c r="AO57" i="4" s="1"/>
  <c r="Z57" i="4"/>
  <c r="AB57" i="4" s="1"/>
  <c r="AD57" i="4" l="1"/>
  <c r="AF57" i="4" s="1"/>
  <c r="AR57" i="4"/>
  <c r="AT57" i="4" s="1"/>
  <c r="AQ57" i="4"/>
  <c r="AS57" i="4" s="1"/>
  <c r="AC57" i="4"/>
  <c r="AE57" i="4" s="1"/>
  <c r="BR57" i="4" l="1"/>
  <c r="BS57" i="4" s="1"/>
  <c r="BQ57" i="4"/>
  <c r="BN57" i="4"/>
  <c r="BO57" i="4" s="1"/>
  <c r="BM57" i="4"/>
  <c r="BW57" i="4" l="1"/>
  <c r="C57" i="4" s="1"/>
  <c r="BU57" i="4"/>
  <c r="K57" i="4" s="1"/>
  <c r="BX57" i="4"/>
  <c r="D57" i="4" s="1"/>
  <c r="BV57" i="4"/>
  <c r="L57" i="4" s="1"/>
  <c r="AV58" i="4" l="1"/>
  <c r="T58" i="4"/>
  <c r="W58" i="4"/>
  <c r="N58" i="4"/>
  <c r="P59" i="4" s="1"/>
  <c r="R60" i="4" s="1"/>
  <c r="V58" i="4"/>
  <c r="AX58" i="4"/>
  <c r="AK58" i="4"/>
  <c r="BF58" i="4"/>
  <c r="AI58" i="4"/>
  <c r="BD58" i="4"/>
  <c r="F58" i="4"/>
  <c r="AH58" i="4"/>
  <c r="AW58" i="4"/>
  <c r="U58" i="4"/>
  <c r="M58" i="4"/>
  <c r="O59" i="4" s="1"/>
  <c r="Q60" i="4" s="1"/>
  <c r="X58" i="4"/>
  <c r="AU58" i="4"/>
  <c r="BA58" i="4" s="1"/>
  <c r="S58" i="4"/>
  <c r="BC58" i="4"/>
  <c r="AG58" i="4"/>
  <c r="E58" i="4"/>
  <c r="AJ58" i="4"/>
  <c r="BE58" i="4"/>
  <c r="AL58" i="4"/>
  <c r="Y58" i="4" l="1"/>
  <c r="AA58" i="4" s="1"/>
  <c r="AM58" i="4"/>
  <c r="AO58" i="4" s="1"/>
  <c r="AN58" i="4"/>
  <c r="AP58" i="4" s="1"/>
  <c r="BI58" i="4"/>
  <c r="BK58" i="4" s="1"/>
  <c r="BH59" i="4"/>
  <c r="H59" i="4"/>
  <c r="J60" i="4" s="1"/>
  <c r="BJ58" i="4"/>
  <c r="BL58" i="4" s="1"/>
  <c r="Z58" i="4"/>
  <c r="AB58" i="4" s="1"/>
  <c r="G59" i="4"/>
  <c r="I60" i="4" s="1"/>
  <c r="BG59" i="4"/>
  <c r="BB58" i="4"/>
  <c r="AD58" i="4" l="1"/>
  <c r="AF58" i="4" s="1"/>
  <c r="AR58" i="4"/>
  <c r="AT58" i="4" s="1"/>
  <c r="AQ58" i="4"/>
  <c r="AS58" i="4" s="1"/>
  <c r="AC58" i="4"/>
  <c r="AE58" i="4" s="1"/>
  <c r="BR58" i="4" l="1"/>
  <c r="BS58" i="4" s="1"/>
  <c r="BQ58" i="4"/>
  <c r="BN58" i="4"/>
  <c r="BO58" i="4" s="1"/>
  <c r="BM58" i="4"/>
  <c r="BW58" i="4" l="1"/>
  <c r="C58" i="4" s="1"/>
  <c r="BU58" i="4"/>
  <c r="K58" i="4" s="1"/>
  <c r="BX58" i="4"/>
  <c r="D58" i="4" s="1"/>
  <c r="BV58" i="4"/>
  <c r="L58" i="4" s="1"/>
  <c r="W59" i="4" l="1"/>
  <c r="AX59" i="4"/>
  <c r="V59" i="4"/>
  <c r="N59" i="4"/>
  <c r="P60" i="4" s="1"/>
  <c r="R61" i="4" s="1"/>
  <c r="T59" i="4"/>
  <c r="AV59" i="4"/>
  <c r="BB59" i="4" s="1"/>
  <c r="AU59" i="4"/>
  <c r="S59" i="4"/>
  <c r="AW59" i="4"/>
  <c r="U59" i="4"/>
  <c r="M59" i="4"/>
  <c r="O60" i="4" s="1"/>
  <c r="Q61" i="4" s="1"/>
  <c r="X59" i="4"/>
  <c r="AI59" i="4"/>
  <c r="BD59" i="4"/>
  <c r="AH59" i="4"/>
  <c r="F59" i="4"/>
  <c r="AK59" i="4"/>
  <c r="BF59" i="4"/>
  <c r="BE59" i="4"/>
  <c r="AL59" i="4"/>
  <c r="BC59" i="4"/>
  <c r="AG59" i="4"/>
  <c r="E59" i="4"/>
  <c r="AJ59" i="4"/>
  <c r="BA59" i="4" l="1"/>
  <c r="BI59" i="4"/>
  <c r="BK59" i="4" s="1"/>
  <c r="H60" i="4"/>
  <c r="J61" i="4" s="1"/>
  <c r="BH60" i="4"/>
  <c r="Y59" i="4"/>
  <c r="AA59" i="4" s="1"/>
  <c r="AN59" i="4"/>
  <c r="AP59" i="4" s="1"/>
  <c r="BG60" i="4"/>
  <c r="G60" i="4"/>
  <c r="I61" i="4" s="1"/>
  <c r="AM59" i="4"/>
  <c r="AO59" i="4" s="1"/>
  <c r="BJ59" i="4"/>
  <c r="BL59" i="4" s="1"/>
  <c r="Z59" i="4"/>
  <c r="AB59" i="4" s="1"/>
  <c r="AD59" i="4" l="1"/>
  <c r="AF59" i="4" s="1"/>
  <c r="AR59" i="4"/>
  <c r="AT59" i="4" s="1"/>
  <c r="AQ59" i="4"/>
  <c r="AS59" i="4" s="1"/>
  <c r="AC59" i="4"/>
  <c r="AE59" i="4" s="1"/>
  <c r="BR59" i="4" l="1"/>
  <c r="BS59" i="4" s="1"/>
  <c r="BQ59" i="4"/>
  <c r="BM59" i="4"/>
  <c r="BN59" i="4"/>
  <c r="BO59" i="4" s="1"/>
  <c r="BW59" i="4" l="1"/>
  <c r="C59" i="4" s="1"/>
  <c r="BU59" i="4"/>
  <c r="K59" i="4" s="1"/>
  <c r="BX59" i="4"/>
  <c r="D59" i="4" s="1"/>
  <c r="BV59" i="4"/>
  <c r="L59" i="4" s="1"/>
  <c r="AV60" i="4" l="1"/>
  <c r="T60" i="4"/>
  <c r="W60" i="4"/>
  <c r="AX60" i="4"/>
  <c r="N60" i="4"/>
  <c r="P61" i="4" s="1"/>
  <c r="R62" i="4" s="1"/>
  <c r="V60" i="4"/>
  <c r="AK60" i="4"/>
  <c r="BF60" i="4"/>
  <c r="AI60" i="4"/>
  <c r="AH60" i="4"/>
  <c r="F60" i="4"/>
  <c r="BD60" i="4"/>
  <c r="AW60" i="4"/>
  <c r="U60" i="4"/>
  <c r="M60" i="4"/>
  <c r="O61" i="4" s="1"/>
  <c r="Q62" i="4" s="1"/>
  <c r="X60" i="4"/>
  <c r="AU60" i="4"/>
  <c r="BA60" i="4" s="1"/>
  <c r="S60" i="4"/>
  <c r="BC60" i="4"/>
  <c r="AG60" i="4"/>
  <c r="E60" i="4"/>
  <c r="AJ60" i="4"/>
  <c r="BE60" i="4"/>
  <c r="AL60" i="4"/>
  <c r="G61" i="4" l="1"/>
  <c r="I62" i="4" s="1"/>
  <c r="BG61" i="4"/>
  <c r="BJ60" i="4"/>
  <c r="BL60" i="4" s="1"/>
  <c r="BI60" i="4"/>
  <c r="BK60" i="4" s="1"/>
  <c r="BH61" i="4"/>
  <c r="H61" i="4"/>
  <c r="J62" i="4" s="1"/>
  <c r="AM60" i="4"/>
  <c r="AO60" i="4" s="1"/>
  <c r="Y60" i="4"/>
  <c r="AA60" i="4" s="1"/>
  <c r="AN60" i="4"/>
  <c r="AP60" i="4" s="1"/>
  <c r="Z60" i="4"/>
  <c r="AB60" i="4" s="1"/>
  <c r="BB60" i="4"/>
  <c r="AC60" i="4" l="1"/>
  <c r="AE60" i="4" s="1"/>
  <c r="AQ60" i="4"/>
  <c r="AS60" i="4" s="1"/>
  <c r="AR60" i="4"/>
  <c r="AT60" i="4" s="1"/>
  <c r="AD60" i="4"/>
  <c r="AF60" i="4" s="1"/>
  <c r="BN60" i="4" l="1"/>
  <c r="BM60" i="4"/>
  <c r="BR60" i="4"/>
  <c r="BS60" i="4" s="1"/>
  <c r="BQ60" i="4"/>
  <c r="BO60" i="4"/>
  <c r="BX60" i="4" l="1"/>
  <c r="D60" i="4" s="1"/>
  <c r="BV60" i="4"/>
  <c r="L60" i="4" s="1"/>
  <c r="BW60" i="4"/>
  <c r="C60" i="4" s="1"/>
  <c r="BU60" i="4"/>
  <c r="K60" i="4" s="1"/>
  <c r="BE61" i="4" l="1"/>
  <c r="AL61" i="4"/>
  <c r="BC61" i="4"/>
  <c r="AG61" i="4"/>
  <c r="E61" i="4"/>
  <c r="AJ61" i="4"/>
  <c r="W61" i="4"/>
  <c r="AX61" i="4"/>
  <c r="V61" i="4"/>
  <c r="N61" i="4"/>
  <c r="P62" i="4" s="1"/>
  <c r="R63" i="4" s="1"/>
  <c r="T61" i="4"/>
  <c r="AV61" i="4"/>
  <c r="BB61" i="4" s="1"/>
  <c r="AU61" i="4"/>
  <c r="BA61" i="4" s="1"/>
  <c r="S61" i="4"/>
  <c r="AW61" i="4"/>
  <c r="U61" i="4"/>
  <c r="M61" i="4"/>
  <c r="O62" i="4" s="1"/>
  <c r="Q63" i="4" s="1"/>
  <c r="X61" i="4"/>
  <c r="AI61" i="4"/>
  <c r="BD61" i="4"/>
  <c r="AH61" i="4"/>
  <c r="F61" i="4"/>
  <c r="AK61" i="4"/>
  <c r="BF61" i="4"/>
  <c r="AM61" i="4" l="1"/>
  <c r="AO61" i="4" s="1"/>
  <c r="BJ61" i="4"/>
  <c r="BL61" i="4" s="1"/>
  <c r="BI61" i="4"/>
  <c r="BK61" i="4" s="1"/>
  <c r="Z61" i="4"/>
  <c r="AB61" i="4" s="1"/>
  <c r="H62" i="4"/>
  <c r="J63" i="4" s="1"/>
  <c r="BH62" i="4"/>
  <c r="Y61" i="4"/>
  <c r="AA61" i="4" s="1"/>
  <c r="AN61" i="4"/>
  <c r="AP61" i="4" s="1"/>
  <c r="BG62" i="4"/>
  <c r="G62" i="4"/>
  <c r="I63" i="4" s="1"/>
  <c r="AD61" i="4" l="1"/>
  <c r="AF61" i="4" s="1"/>
  <c r="AC61" i="4"/>
  <c r="AE61" i="4" s="1"/>
  <c r="AR61" i="4"/>
  <c r="AT61" i="4" s="1"/>
  <c r="AQ61" i="4"/>
  <c r="AS61" i="4" s="1"/>
  <c r="BR61" i="4" l="1"/>
  <c r="BQ61" i="4"/>
  <c r="BS61" i="4"/>
  <c r="BM61" i="4"/>
  <c r="BN61" i="4"/>
  <c r="BO61" i="4" s="1"/>
  <c r="BW61" i="4" l="1"/>
  <c r="C61" i="4" s="1"/>
  <c r="BU61" i="4"/>
  <c r="K61" i="4" s="1"/>
  <c r="BX61" i="4"/>
  <c r="D61" i="4" s="1"/>
  <c r="BV61" i="4"/>
  <c r="L61" i="4" s="1"/>
  <c r="AW62" i="4" l="1"/>
  <c r="U62" i="4"/>
  <c r="M62" i="4"/>
  <c r="O63" i="4" s="1"/>
  <c r="Q64" i="4" s="1"/>
  <c r="X62" i="4"/>
  <c r="AU62" i="4"/>
  <c r="BA62" i="4" s="1"/>
  <c r="S62" i="4"/>
  <c r="AV62" i="4"/>
  <c r="T62" i="4"/>
  <c r="W62" i="4"/>
  <c r="V62" i="4"/>
  <c r="AX62" i="4"/>
  <c r="N62" i="4"/>
  <c r="P63" i="4" s="1"/>
  <c r="R64" i="4" s="1"/>
  <c r="BC62" i="4"/>
  <c r="AG62" i="4"/>
  <c r="E62" i="4"/>
  <c r="AJ62" i="4"/>
  <c r="BE62" i="4"/>
  <c r="AL62" i="4"/>
  <c r="AK62" i="4"/>
  <c r="BF62" i="4"/>
  <c r="AI62" i="4"/>
  <c r="BD62" i="4"/>
  <c r="F62" i="4"/>
  <c r="AH62" i="4"/>
  <c r="BI62" i="4" l="1"/>
  <c r="BK62" i="4" s="1"/>
  <c r="AN62" i="4"/>
  <c r="AP62" i="4" s="1"/>
  <c r="Z62" i="4"/>
  <c r="AB62" i="4" s="1"/>
  <c r="BB62" i="4"/>
  <c r="BH63" i="4"/>
  <c r="H63" i="4"/>
  <c r="J64" i="4" s="1"/>
  <c r="G63" i="4"/>
  <c r="I64" i="4" s="1"/>
  <c r="BG63" i="4"/>
  <c r="BJ62" i="4"/>
  <c r="BL62" i="4" s="1"/>
  <c r="AM62" i="4"/>
  <c r="AO62" i="4" s="1"/>
  <c r="Y62" i="4"/>
  <c r="AA62" i="4" s="1"/>
  <c r="AC62" i="4" l="1"/>
  <c r="AE62" i="4" s="1"/>
  <c r="AQ62" i="4"/>
  <c r="AS62" i="4" s="1"/>
  <c r="AR62" i="4"/>
  <c r="AT62" i="4" s="1"/>
  <c r="AD62" i="4"/>
  <c r="AF62" i="4" s="1"/>
  <c r="BN62" i="4" l="1"/>
  <c r="BM62" i="4"/>
  <c r="BR62" i="4"/>
  <c r="BS62" i="4" s="1"/>
  <c r="BQ62" i="4"/>
  <c r="BO62" i="4"/>
  <c r="BX62" i="4" l="1"/>
  <c r="D62" i="4" s="1"/>
  <c r="BV62" i="4"/>
  <c r="L62" i="4" s="1"/>
  <c r="BW62" i="4"/>
  <c r="C62" i="4" s="1"/>
  <c r="BU62" i="4"/>
  <c r="K62" i="4" s="1"/>
  <c r="AU63" i="4" l="1"/>
  <c r="S63" i="4"/>
  <c r="AW63" i="4"/>
  <c r="U63" i="4"/>
  <c r="M63" i="4"/>
  <c r="O64" i="4" s="1"/>
  <c r="Q65" i="4" s="1"/>
  <c r="X63" i="4"/>
  <c r="BE63" i="4"/>
  <c r="AL63" i="4"/>
  <c r="BC63" i="4"/>
  <c r="AG63" i="4"/>
  <c r="E63" i="4"/>
  <c r="AJ63" i="4"/>
  <c r="W63" i="4"/>
  <c r="AX63" i="4"/>
  <c r="V63" i="4"/>
  <c r="N63" i="4"/>
  <c r="P64" i="4" s="1"/>
  <c r="R65" i="4" s="1"/>
  <c r="AV63" i="4"/>
  <c r="BB63" i="4" s="1"/>
  <c r="T63" i="4"/>
  <c r="AI63" i="4"/>
  <c r="BD63" i="4"/>
  <c r="AH63" i="4"/>
  <c r="F63" i="4"/>
  <c r="AK63" i="4"/>
  <c r="BF63" i="4"/>
  <c r="BJ63" i="4" l="1"/>
  <c r="BL63" i="4" s="1"/>
  <c r="BG64" i="4"/>
  <c r="G64" i="4"/>
  <c r="I65" i="4" s="1"/>
  <c r="H64" i="4"/>
  <c r="J65" i="4" s="1"/>
  <c r="BH64" i="4"/>
  <c r="Z63" i="4"/>
  <c r="AB63" i="4" s="1"/>
  <c r="AM63" i="4"/>
  <c r="AO63" i="4" s="1"/>
  <c r="Y63" i="4"/>
  <c r="AA63" i="4" s="1"/>
  <c r="AN63" i="4"/>
  <c r="AP63" i="4" s="1"/>
  <c r="BI63" i="4"/>
  <c r="BK63" i="4" s="1"/>
  <c r="BA63" i="4"/>
  <c r="AC63" i="4" l="1"/>
  <c r="AE63" i="4" s="1"/>
  <c r="AQ63" i="4"/>
  <c r="AS63" i="4" s="1"/>
  <c r="AD63" i="4"/>
  <c r="AF63" i="4" s="1"/>
  <c r="AR63" i="4"/>
  <c r="AT63" i="4" s="1"/>
  <c r="BM63" i="4" l="1"/>
  <c r="BN63" i="4"/>
  <c r="BO63" i="4" s="1"/>
  <c r="BR63" i="4"/>
  <c r="BS63" i="4" s="1"/>
  <c r="BQ63" i="4"/>
  <c r="BW63" i="4" l="1"/>
  <c r="C63" i="4" s="1"/>
  <c r="BU63" i="4"/>
  <c r="K63" i="4" s="1"/>
  <c r="BX63" i="4"/>
  <c r="D63" i="4" s="1"/>
  <c r="BV63" i="4"/>
  <c r="L63" i="4" s="1"/>
  <c r="AV64" i="4" l="1"/>
  <c r="T64" i="4"/>
  <c r="W64" i="4"/>
  <c r="V64" i="4"/>
  <c r="AX64" i="4"/>
  <c r="N64" i="4"/>
  <c r="P65" i="4" s="1"/>
  <c r="R66" i="4" s="1"/>
  <c r="AW64" i="4"/>
  <c r="U64" i="4"/>
  <c r="M64" i="4"/>
  <c r="O65" i="4" s="1"/>
  <c r="Q66" i="4" s="1"/>
  <c r="X64" i="4"/>
  <c r="AU64" i="4"/>
  <c r="BA64" i="4" s="1"/>
  <c r="S64" i="4"/>
  <c r="AK64" i="4"/>
  <c r="BF64" i="4"/>
  <c r="AI64" i="4"/>
  <c r="BD64" i="4"/>
  <c r="F64" i="4"/>
  <c r="AH64" i="4"/>
  <c r="BC64" i="4"/>
  <c r="AG64" i="4"/>
  <c r="E64" i="4"/>
  <c r="AJ64" i="4"/>
  <c r="BE64" i="4"/>
  <c r="AL64" i="4"/>
  <c r="BG65" i="4" l="1"/>
  <c r="G65" i="4"/>
  <c r="I66" i="4" s="1"/>
  <c r="BH65" i="4"/>
  <c r="H65" i="4"/>
  <c r="J66" i="4" s="1"/>
  <c r="AM64" i="4"/>
  <c r="AO64" i="4" s="1"/>
  <c r="BJ64" i="4"/>
  <c r="BL64" i="4" s="1"/>
  <c r="Y64" i="4"/>
  <c r="AA64" i="4" s="1"/>
  <c r="BI64" i="4"/>
  <c r="BK64" i="4" s="1"/>
  <c r="AN64" i="4"/>
  <c r="AP64" i="4" s="1"/>
  <c r="Z64" i="4"/>
  <c r="AB64" i="4" s="1"/>
  <c r="BB64" i="4"/>
  <c r="AR64" i="4" l="1"/>
  <c r="AT64" i="4" s="1"/>
  <c r="AD64" i="4"/>
  <c r="AF64" i="4" s="1"/>
  <c r="AQ64" i="4"/>
  <c r="AS64" i="4" s="1"/>
  <c r="AC64" i="4"/>
  <c r="AE64" i="4" s="1"/>
  <c r="BM64" i="4" l="1"/>
  <c r="BN64" i="4"/>
  <c r="BO64" i="4" s="1"/>
  <c r="BR64" i="4"/>
  <c r="BS64" i="4" s="1"/>
  <c r="BQ64" i="4"/>
  <c r="BW64" i="4" l="1"/>
  <c r="C64" i="4" s="1"/>
  <c r="BU64" i="4"/>
  <c r="K64" i="4" s="1"/>
  <c r="BX64" i="4"/>
  <c r="D64" i="4" s="1"/>
  <c r="BV64" i="4"/>
  <c r="L64" i="4" s="1"/>
  <c r="BD65" i="4" l="1"/>
  <c r="BF65" i="4"/>
  <c r="AI65" i="4"/>
  <c r="AH65" i="4"/>
  <c r="F65" i="4"/>
  <c r="AK65" i="4"/>
  <c r="AX65" i="4"/>
  <c r="AV65" i="4"/>
  <c r="W65" i="4"/>
  <c r="V65" i="4"/>
  <c r="N65" i="4"/>
  <c r="P66" i="4" s="1"/>
  <c r="R67" i="4" s="1"/>
  <c r="T65" i="4"/>
  <c r="AW65" i="4"/>
  <c r="S65" i="4"/>
  <c r="U65" i="4"/>
  <c r="M65" i="4"/>
  <c r="O66" i="4" s="1"/>
  <c r="Q67" i="4" s="1"/>
  <c r="AU65" i="4"/>
  <c r="BA65" i="4" s="1"/>
  <c r="X65" i="4"/>
  <c r="BC65" i="4"/>
  <c r="BE65" i="4"/>
  <c r="AL65" i="4"/>
  <c r="AG65" i="4"/>
  <c r="E65" i="4"/>
  <c r="AJ65" i="4"/>
  <c r="Z65" i="4" l="1"/>
  <c r="AB65" i="4" s="1"/>
  <c r="BB65" i="4"/>
  <c r="AN65" i="4"/>
  <c r="AP65" i="4" s="1"/>
  <c r="BI65" i="4"/>
  <c r="BK65" i="4" s="1"/>
  <c r="G66" i="4"/>
  <c r="I67" i="4" s="1"/>
  <c r="BG66" i="4"/>
  <c r="AM65" i="4"/>
  <c r="AO65" i="4" s="1"/>
  <c r="Y65" i="4"/>
  <c r="AA65" i="4" s="1"/>
  <c r="H66" i="4"/>
  <c r="J67" i="4" s="1"/>
  <c r="BH66" i="4"/>
  <c r="BJ65" i="4"/>
  <c r="BL65" i="4" s="1"/>
  <c r="AR65" i="4" l="1"/>
  <c r="AT65" i="4" s="1"/>
  <c r="AC65" i="4"/>
  <c r="AE65" i="4" s="1"/>
  <c r="AD65" i="4"/>
  <c r="AF65" i="4" s="1"/>
  <c r="AQ65" i="4"/>
  <c r="AS65" i="4" s="1"/>
  <c r="BQ65" i="4" l="1"/>
  <c r="BR65" i="4"/>
  <c r="BS65" i="4" s="1"/>
  <c r="BN65" i="4"/>
  <c r="BO65" i="4" s="1"/>
  <c r="BM65" i="4"/>
  <c r="BW65" i="4" l="1"/>
  <c r="C65" i="4" s="1"/>
  <c r="BU65" i="4"/>
  <c r="K65" i="4" s="1"/>
  <c r="BX65" i="4"/>
  <c r="D65" i="4" s="1"/>
  <c r="BV65" i="4"/>
  <c r="L65" i="4" s="1"/>
  <c r="AV66" i="4" l="1"/>
  <c r="T66" i="4"/>
  <c r="W66" i="4"/>
  <c r="AX66" i="4"/>
  <c r="V66" i="4"/>
  <c r="N66" i="4"/>
  <c r="P67" i="4" s="1"/>
  <c r="R68" i="4" s="1"/>
  <c r="X66" i="4"/>
  <c r="AU66" i="4"/>
  <c r="BA66" i="4" s="1"/>
  <c r="S66" i="4"/>
  <c r="U66" i="4"/>
  <c r="AW66" i="4"/>
  <c r="M66" i="4"/>
  <c r="O67" i="4" s="1"/>
  <c r="Q68" i="4" s="1"/>
  <c r="BF66" i="4"/>
  <c r="AI66" i="4"/>
  <c r="BD66" i="4"/>
  <c r="AH66" i="4"/>
  <c r="F66" i="4"/>
  <c r="AK66" i="4"/>
  <c r="AJ66" i="4"/>
  <c r="BE66" i="4"/>
  <c r="AL66" i="4"/>
  <c r="BC66" i="4"/>
  <c r="E66" i="4"/>
  <c r="AG66" i="4"/>
  <c r="AM66" i="4" l="1"/>
  <c r="AO66" i="4" s="1"/>
  <c r="BJ66" i="4"/>
  <c r="BL66" i="4" s="1"/>
  <c r="AN66" i="4"/>
  <c r="AP66" i="4" s="1"/>
  <c r="BG67" i="4"/>
  <c r="G67" i="4"/>
  <c r="I68" i="4" s="1"/>
  <c r="BI66" i="4"/>
  <c r="BK66" i="4" s="1"/>
  <c r="Z66" i="4"/>
  <c r="AB66" i="4" s="1"/>
  <c r="BH67" i="4"/>
  <c r="H67" i="4"/>
  <c r="J68" i="4" s="1"/>
  <c r="Y66" i="4"/>
  <c r="AA66" i="4" s="1"/>
  <c r="BB66" i="4"/>
  <c r="AD66" i="4" l="1"/>
  <c r="AF66" i="4" s="1"/>
  <c r="AC66" i="4"/>
  <c r="AE66" i="4" s="1"/>
  <c r="AR66" i="4"/>
  <c r="AT66" i="4" s="1"/>
  <c r="AQ66" i="4"/>
  <c r="AS66" i="4" s="1"/>
  <c r="BR66" i="4" l="1"/>
  <c r="BS66" i="4" s="1"/>
  <c r="BQ66" i="4"/>
  <c r="BN66" i="4"/>
  <c r="BO66" i="4" s="1"/>
  <c r="BM66" i="4"/>
  <c r="BW66" i="4" l="1"/>
  <c r="C66" i="4" s="1"/>
  <c r="BU66" i="4"/>
  <c r="K66" i="4" s="1"/>
  <c r="BX66" i="4"/>
  <c r="D66" i="4" s="1"/>
  <c r="BV66" i="4"/>
  <c r="L66" i="4" s="1"/>
  <c r="AX67" i="4" l="1"/>
  <c r="V67" i="4"/>
  <c r="N67" i="4"/>
  <c r="P68" i="4" s="1"/>
  <c r="R69" i="4" s="1"/>
  <c r="AV67" i="4"/>
  <c r="T67" i="4"/>
  <c r="W67" i="4"/>
  <c r="BD67" i="4"/>
  <c r="AH67" i="4"/>
  <c r="F67" i="4"/>
  <c r="AK67" i="4"/>
  <c r="BF67" i="4"/>
  <c r="AI67" i="4"/>
  <c r="AW67" i="4"/>
  <c r="U67" i="4"/>
  <c r="M67" i="4"/>
  <c r="O68" i="4" s="1"/>
  <c r="Q69" i="4" s="1"/>
  <c r="X67" i="4"/>
  <c r="AU67" i="4"/>
  <c r="BA67" i="4" s="1"/>
  <c r="S67" i="4"/>
  <c r="AL67" i="4"/>
  <c r="BC67" i="4"/>
  <c r="AG67" i="4"/>
  <c r="E67" i="4"/>
  <c r="AJ67" i="4"/>
  <c r="BE67" i="4"/>
  <c r="AN67" i="4" l="1"/>
  <c r="AP67" i="4" s="1"/>
  <c r="BB67" i="4"/>
  <c r="AM67" i="4"/>
  <c r="AO67" i="4" s="1"/>
  <c r="BI67" i="4"/>
  <c r="BK67" i="4" s="1"/>
  <c r="BJ67" i="4"/>
  <c r="BL67" i="4" s="1"/>
  <c r="G68" i="4"/>
  <c r="I69" i="4" s="1"/>
  <c r="BG68" i="4"/>
  <c r="Y67" i="4"/>
  <c r="AA67" i="4" s="1"/>
  <c r="H68" i="4"/>
  <c r="J69" i="4" s="1"/>
  <c r="BH68" i="4"/>
  <c r="Z67" i="4"/>
  <c r="AB67" i="4" s="1"/>
  <c r="AQ67" i="4" l="1"/>
  <c r="AS67" i="4" s="1"/>
  <c r="AD67" i="4"/>
  <c r="AF67" i="4" s="1"/>
  <c r="AC67" i="4"/>
  <c r="AE67" i="4" s="1"/>
  <c r="AR67" i="4"/>
  <c r="AT67" i="4" s="1"/>
  <c r="BN67" i="4" l="1"/>
  <c r="BM67" i="4"/>
  <c r="BQ67" i="4"/>
  <c r="BR67" i="4"/>
  <c r="BS67" i="4" s="1"/>
  <c r="BO67" i="4"/>
  <c r="BW67" i="4" l="1"/>
  <c r="C67" i="4" s="1"/>
  <c r="BU67" i="4"/>
  <c r="K67" i="4" s="1"/>
  <c r="BX67" i="4"/>
  <c r="D67" i="4" s="1"/>
  <c r="BV67" i="4"/>
  <c r="L67" i="4" s="1"/>
  <c r="X68" i="4" l="1"/>
  <c r="AU68" i="4"/>
  <c r="S68" i="4"/>
  <c r="U68" i="4"/>
  <c r="AW68" i="4"/>
  <c r="M68" i="4"/>
  <c r="O69" i="4" s="1"/>
  <c r="Q70" i="4" s="1"/>
  <c r="AV68" i="4"/>
  <c r="T68" i="4"/>
  <c r="W68" i="4"/>
  <c r="AX68" i="4"/>
  <c r="V68" i="4"/>
  <c r="N68" i="4"/>
  <c r="P69" i="4" s="1"/>
  <c r="R70" i="4" s="1"/>
  <c r="AJ68" i="4"/>
  <c r="BE68" i="4"/>
  <c r="AL68" i="4"/>
  <c r="BC68" i="4"/>
  <c r="E68" i="4"/>
  <c r="AG68" i="4"/>
  <c r="BF68" i="4"/>
  <c r="AI68" i="4"/>
  <c r="BD68" i="4"/>
  <c r="AH68" i="4"/>
  <c r="F68" i="4"/>
  <c r="AK68" i="4"/>
  <c r="BI68" i="4" l="1"/>
  <c r="BK68" i="4" s="1"/>
  <c r="Z68" i="4"/>
  <c r="AB68" i="4" s="1"/>
  <c r="AM68" i="4"/>
  <c r="AO68" i="4" s="1"/>
  <c r="BH69" i="4"/>
  <c r="H69" i="4"/>
  <c r="J70" i="4" s="1"/>
  <c r="BB68" i="4"/>
  <c r="Y68" i="4"/>
  <c r="AA68" i="4" s="1"/>
  <c r="AN68" i="4"/>
  <c r="AP68" i="4" s="1"/>
  <c r="BA68" i="4"/>
  <c r="BJ68" i="4"/>
  <c r="BL68" i="4" s="1"/>
  <c r="BG69" i="4"/>
  <c r="G69" i="4"/>
  <c r="I70" i="4" s="1"/>
  <c r="AR68" i="4" l="1"/>
  <c r="AT68" i="4" s="1"/>
  <c r="AQ68" i="4"/>
  <c r="AS68" i="4" s="1"/>
  <c r="AD68" i="4"/>
  <c r="AF68" i="4" s="1"/>
  <c r="AC68" i="4"/>
  <c r="AE68" i="4" s="1"/>
  <c r="BR68" i="4" l="1"/>
  <c r="BS68" i="4" s="1"/>
  <c r="BQ68" i="4"/>
  <c r="BN68" i="4"/>
  <c r="BO68" i="4" s="1"/>
  <c r="BM68" i="4"/>
  <c r="BW68" i="4" l="1"/>
  <c r="C68" i="4" s="1"/>
  <c r="BU68" i="4"/>
  <c r="K68" i="4" s="1"/>
  <c r="BX68" i="4"/>
  <c r="D68" i="4" s="1"/>
  <c r="BV68" i="4"/>
  <c r="L68" i="4" s="1"/>
  <c r="AX69" i="4" l="1"/>
  <c r="V69" i="4"/>
  <c r="N69" i="4"/>
  <c r="P70" i="4" s="1"/>
  <c r="R71" i="4" s="1"/>
  <c r="AV69" i="4"/>
  <c r="T69" i="4"/>
  <c r="W69" i="4"/>
  <c r="BD69" i="4"/>
  <c r="AH69" i="4"/>
  <c r="F69" i="4"/>
  <c r="AK69" i="4"/>
  <c r="BF69" i="4"/>
  <c r="AI69" i="4"/>
  <c r="AW69" i="4"/>
  <c r="U69" i="4"/>
  <c r="M69" i="4"/>
  <c r="O70" i="4" s="1"/>
  <c r="Q71" i="4" s="1"/>
  <c r="X69" i="4"/>
  <c r="S69" i="4"/>
  <c r="AU69" i="4"/>
  <c r="AL69" i="4"/>
  <c r="BC69" i="4"/>
  <c r="AG69" i="4"/>
  <c r="E69" i="4"/>
  <c r="AJ69" i="4"/>
  <c r="BE69" i="4"/>
  <c r="AM69" i="4" l="1"/>
  <c r="AO69" i="4" s="1"/>
  <c r="BI69" i="4"/>
  <c r="BK69" i="4" s="1"/>
  <c r="AN69" i="4"/>
  <c r="AP69" i="4" s="1"/>
  <c r="BB69" i="4"/>
  <c r="BJ69" i="4"/>
  <c r="BL69" i="4" s="1"/>
  <c r="G70" i="4"/>
  <c r="I71" i="4" s="1"/>
  <c r="BG70" i="4"/>
  <c r="BA69" i="4"/>
  <c r="Y69" i="4"/>
  <c r="AA69" i="4" s="1"/>
  <c r="H70" i="4"/>
  <c r="J71" i="4" s="1"/>
  <c r="BH70" i="4"/>
  <c r="Z69" i="4"/>
  <c r="AB69" i="4" s="1"/>
  <c r="AR69" i="4" l="1"/>
  <c r="AT69" i="4" s="1"/>
  <c r="AC69" i="4"/>
  <c r="AE69" i="4" s="1"/>
  <c r="AD69" i="4"/>
  <c r="AF69" i="4" s="1"/>
  <c r="AQ69" i="4"/>
  <c r="AS69" i="4" s="1"/>
  <c r="BQ69" i="4" l="1"/>
  <c r="BR69" i="4"/>
  <c r="BS69" i="4" s="1"/>
  <c r="BM69" i="4"/>
  <c r="BN69" i="4"/>
  <c r="BO69" i="4" s="1"/>
  <c r="BW69" i="4" l="1"/>
  <c r="C69" i="4" s="1"/>
  <c r="BU69" i="4"/>
  <c r="K69" i="4" s="1"/>
  <c r="BX69" i="4"/>
  <c r="D69" i="4" s="1"/>
  <c r="BV69" i="4"/>
  <c r="L69" i="4" s="1"/>
  <c r="AV70" i="4" l="1"/>
  <c r="T70" i="4"/>
  <c r="W70" i="4"/>
  <c r="AX70" i="4"/>
  <c r="V70" i="4"/>
  <c r="N70" i="4"/>
  <c r="P71" i="4" s="1"/>
  <c r="R72" i="4" s="1"/>
  <c r="BF70" i="4"/>
  <c r="AI70" i="4"/>
  <c r="BD70" i="4"/>
  <c r="AH70" i="4"/>
  <c r="F70" i="4"/>
  <c r="AK70" i="4"/>
  <c r="X70" i="4"/>
  <c r="AU70" i="4"/>
  <c r="S70" i="4"/>
  <c r="M70" i="4"/>
  <c r="O71" i="4" s="1"/>
  <c r="Q72" i="4" s="1"/>
  <c r="U70" i="4"/>
  <c r="AW70" i="4"/>
  <c r="AJ70" i="4"/>
  <c r="BE70" i="4"/>
  <c r="AL70" i="4"/>
  <c r="BC70" i="4"/>
  <c r="E70" i="4"/>
  <c r="AG70" i="4"/>
  <c r="BI70" i="4" l="1"/>
  <c r="BK70" i="4" s="1"/>
  <c r="AM70" i="4"/>
  <c r="AO70" i="4" s="1"/>
  <c r="BG71" i="4"/>
  <c r="G71" i="4"/>
  <c r="I72" i="4" s="1"/>
  <c r="Y70" i="4"/>
  <c r="AA70" i="4" s="1"/>
  <c r="BH71" i="4"/>
  <c r="H71" i="4"/>
  <c r="J72" i="4" s="1"/>
  <c r="BA70" i="4"/>
  <c r="AN70" i="4"/>
  <c r="AP70" i="4" s="1"/>
  <c r="Z70" i="4"/>
  <c r="AB70" i="4" s="1"/>
  <c r="BJ70" i="4"/>
  <c r="BL70" i="4" s="1"/>
  <c r="BB70" i="4"/>
  <c r="AD70" i="4" l="1"/>
  <c r="AF70" i="4" s="1"/>
  <c r="AQ70" i="4"/>
  <c r="AS70" i="4" s="1"/>
  <c r="AR70" i="4"/>
  <c r="AT70" i="4" s="1"/>
  <c r="AC70" i="4"/>
  <c r="AE70" i="4" s="1"/>
  <c r="BR70" i="4" l="1"/>
  <c r="BS70" i="4" s="1"/>
  <c r="BQ70" i="4"/>
  <c r="BN70" i="4"/>
  <c r="BO70" i="4" s="1"/>
  <c r="BM70" i="4"/>
  <c r="BW70" i="4" l="1"/>
  <c r="C70" i="4" s="1"/>
  <c r="BU70" i="4"/>
  <c r="K70" i="4" s="1"/>
  <c r="BX70" i="4"/>
  <c r="D70" i="4" s="1"/>
  <c r="BV70" i="4"/>
  <c r="L70" i="4" s="1"/>
  <c r="AX71" i="4" l="1"/>
  <c r="V71" i="4"/>
  <c r="N71" i="4"/>
  <c r="P72" i="4" s="1"/>
  <c r="R73" i="4" s="1"/>
  <c r="AV71" i="4"/>
  <c r="T71" i="4"/>
  <c r="W71" i="4"/>
  <c r="BD71" i="4"/>
  <c r="AH71" i="4"/>
  <c r="F71" i="4"/>
  <c r="AK71" i="4"/>
  <c r="BF71" i="4"/>
  <c r="AI71" i="4"/>
  <c r="AW71" i="4"/>
  <c r="U71" i="4"/>
  <c r="M71" i="4"/>
  <c r="O72" i="4" s="1"/>
  <c r="Q73" i="4" s="1"/>
  <c r="X71" i="4"/>
  <c r="S71" i="4"/>
  <c r="AU71" i="4"/>
  <c r="AL71" i="4"/>
  <c r="BC71" i="4"/>
  <c r="AG71" i="4"/>
  <c r="E71" i="4"/>
  <c r="AJ71" i="4"/>
  <c r="BE71" i="4"/>
  <c r="BB71" i="4" l="1"/>
  <c r="AM71" i="4"/>
  <c r="AO71" i="4" s="1"/>
  <c r="BI71" i="4"/>
  <c r="BK71" i="4" s="1"/>
  <c r="AN71" i="4"/>
  <c r="AP71" i="4" s="1"/>
  <c r="BJ71" i="4"/>
  <c r="BL71" i="4" s="1"/>
  <c r="G72" i="4"/>
  <c r="I73" i="4" s="1"/>
  <c r="BG72" i="4"/>
  <c r="BA71" i="4"/>
  <c r="Y71" i="4"/>
  <c r="AA71" i="4" s="1"/>
  <c r="H72" i="4"/>
  <c r="J73" i="4" s="1"/>
  <c r="BH72" i="4"/>
  <c r="Z71" i="4"/>
  <c r="AB71" i="4" s="1"/>
  <c r="AR71" i="4" l="1"/>
  <c r="AT71" i="4" s="1"/>
  <c r="AQ71" i="4"/>
  <c r="AS71" i="4" s="1"/>
  <c r="AC71" i="4"/>
  <c r="AE71" i="4" s="1"/>
  <c r="AD71" i="4"/>
  <c r="AF71" i="4" s="1"/>
  <c r="BN71" i="4" l="1"/>
  <c r="BO71" i="4" s="1"/>
  <c r="BM71" i="4"/>
  <c r="BQ71" i="4"/>
  <c r="BR71" i="4"/>
  <c r="BS71" i="4" s="1"/>
  <c r="BW71" i="4" l="1"/>
  <c r="C71" i="4" s="1"/>
  <c r="BU71" i="4"/>
  <c r="K71" i="4" s="1"/>
  <c r="BX71" i="4"/>
  <c r="D71" i="4" s="1"/>
  <c r="BV71" i="4"/>
  <c r="L71" i="4" s="1"/>
  <c r="BF72" i="4" l="1"/>
  <c r="AI72" i="4"/>
  <c r="BD72" i="4"/>
  <c r="AH72" i="4"/>
  <c r="F72" i="4"/>
  <c r="AK72" i="4"/>
  <c r="X72" i="4"/>
  <c r="AU72" i="4"/>
  <c r="S72" i="4"/>
  <c r="AW72" i="4"/>
  <c r="M72" i="4"/>
  <c r="O73" i="4" s="1"/>
  <c r="Q74" i="4" s="1"/>
  <c r="U72" i="4"/>
  <c r="AV72" i="4"/>
  <c r="T72" i="4"/>
  <c r="W72" i="4"/>
  <c r="AX72" i="4"/>
  <c r="V72" i="4"/>
  <c r="N72" i="4"/>
  <c r="P73" i="4" s="1"/>
  <c r="R74" i="4" s="1"/>
  <c r="AJ72" i="4"/>
  <c r="BE72" i="4"/>
  <c r="AL72" i="4"/>
  <c r="AG72" i="4"/>
  <c r="E72" i="4"/>
  <c r="BC72" i="4"/>
  <c r="BA72" i="4" l="1"/>
  <c r="AN72" i="4"/>
  <c r="AP72" i="4" s="1"/>
  <c r="BG73" i="4"/>
  <c r="G73" i="4"/>
  <c r="I74" i="4" s="1"/>
  <c r="BJ72" i="4"/>
  <c r="BL72" i="4" s="1"/>
  <c r="BI72" i="4"/>
  <c r="BK72" i="4" s="1"/>
  <c r="AM72" i="4"/>
  <c r="AO72" i="4" s="1"/>
  <c r="Z72" i="4"/>
  <c r="AB72" i="4" s="1"/>
  <c r="BB72" i="4"/>
  <c r="Y72" i="4"/>
  <c r="AA72" i="4" s="1"/>
  <c r="BH73" i="4"/>
  <c r="H73" i="4"/>
  <c r="J74" i="4" s="1"/>
  <c r="AC72" i="4" l="1"/>
  <c r="AE72" i="4" s="1"/>
  <c r="AR72" i="4"/>
  <c r="AT72" i="4" s="1"/>
  <c r="AD72" i="4"/>
  <c r="AF72" i="4" s="1"/>
  <c r="AQ72" i="4"/>
  <c r="AS72" i="4" s="1"/>
  <c r="BR72" i="4" l="1"/>
  <c r="BS72" i="4" s="1"/>
  <c r="BQ72" i="4"/>
  <c r="BN72" i="4"/>
  <c r="BO72" i="4" s="1"/>
  <c r="BM72" i="4"/>
  <c r="BW72" i="4" l="1"/>
  <c r="C72" i="4" s="1"/>
  <c r="BU72" i="4"/>
  <c r="K72" i="4" s="1"/>
  <c r="BX72" i="4"/>
  <c r="D72" i="4" s="1"/>
  <c r="BV72" i="4"/>
  <c r="L72" i="4" s="1"/>
  <c r="AX73" i="4" l="1"/>
  <c r="V73" i="4"/>
  <c r="N73" i="4"/>
  <c r="P74" i="4" s="1"/>
  <c r="R75" i="4" s="1"/>
  <c r="AV73" i="4"/>
  <c r="T73" i="4"/>
  <c r="W73" i="4"/>
  <c r="BD73" i="4"/>
  <c r="AH73" i="4"/>
  <c r="F73" i="4"/>
  <c r="AK73" i="4"/>
  <c r="BF73" i="4"/>
  <c r="AI73" i="4"/>
  <c r="AW73" i="4"/>
  <c r="U73" i="4"/>
  <c r="M73" i="4"/>
  <c r="O74" i="4" s="1"/>
  <c r="Q75" i="4" s="1"/>
  <c r="X73" i="4"/>
  <c r="S73" i="4"/>
  <c r="AU73" i="4"/>
  <c r="AL73" i="4"/>
  <c r="BC73" i="4"/>
  <c r="AG73" i="4"/>
  <c r="E73" i="4"/>
  <c r="AJ73" i="4"/>
  <c r="BE73" i="4"/>
  <c r="BB73" i="4" l="1"/>
  <c r="BI73" i="4"/>
  <c r="BK73" i="4" s="1"/>
  <c r="AN73" i="4"/>
  <c r="AP73" i="4" s="1"/>
  <c r="BJ73" i="4"/>
  <c r="BL73" i="4" s="1"/>
  <c r="AM73" i="4"/>
  <c r="AO73" i="4" s="1"/>
  <c r="Y73" i="4"/>
  <c r="AA73" i="4" s="1"/>
  <c r="G74" i="4"/>
  <c r="I75" i="4" s="1"/>
  <c r="BG74" i="4"/>
  <c r="BA73" i="4"/>
  <c r="H74" i="4"/>
  <c r="J75" i="4" s="1"/>
  <c r="BH74" i="4"/>
  <c r="Z73" i="4"/>
  <c r="AB73" i="4" s="1"/>
  <c r="AQ73" i="4" l="1"/>
  <c r="AS73" i="4" s="1"/>
  <c r="AD73" i="4"/>
  <c r="AF73" i="4" s="1"/>
  <c r="AR73" i="4"/>
  <c r="AT73" i="4" s="1"/>
  <c r="AC73" i="4"/>
  <c r="AE73" i="4" s="1"/>
  <c r="BQ73" i="4" l="1"/>
  <c r="BR73" i="4"/>
  <c r="BN73" i="4"/>
  <c r="BO73" i="4" s="1"/>
  <c r="BM73" i="4"/>
  <c r="BS73" i="4"/>
  <c r="BW73" i="4" l="1"/>
  <c r="C73" i="4" s="1"/>
  <c r="BU73" i="4"/>
  <c r="K73" i="4" s="1"/>
  <c r="BX73" i="4"/>
  <c r="D73" i="4" s="1"/>
  <c r="BV73" i="4"/>
  <c r="L73" i="4" s="1"/>
  <c r="AV74" i="4" l="1"/>
  <c r="T74" i="4"/>
  <c r="W74" i="4"/>
  <c r="AX74" i="4"/>
  <c r="V74" i="4"/>
  <c r="N74" i="4"/>
  <c r="P75" i="4" s="1"/>
  <c r="R76" i="4" s="1"/>
  <c r="BF74" i="4"/>
  <c r="AI74" i="4"/>
  <c r="BD74" i="4"/>
  <c r="AH74" i="4"/>
  <c r="F74" i="4"/>
  <c r="AK74" i="4"/>
  <c r="X74" i="4"/>
  <c r="AU74" i="4"/>
  <c r="S74" i="4"/>
  <c r="U74" i="4"/>
  <c r="AW74" i="4"/>
  <c r="M74" i="4"/>
  <c r="O75" i="4" s="1"/>
  <c r="Q76" i="4" s="1"/>
  <c r="AJ74" i="4"/>
  <c r="BE74" i="4"/>
  <c r="AL74" i="4"/>
  <c r="BC74" i="4"/>
  <c r="E74" i="4"/>
  <c r="AG74" i="4"/>
  <c r="AM74" i="4" l="1"/>
  <c r="AO74" i="4" s="1"/>
  <c r="BG75" i="4"/>
  <c r="G75" i="4"/>
  <c r="I76" i="4" s="1"/>
  <c r="Y74" i="4"/>
  <c r="AA74" i="4" s="1"/>
  <c r="BH75" i="4"/>
  <c r="H75" i="4"/>
  <c r="J76" i="4" s="1"/>
  <c r="BI74" i="4"/>
  <c r="BK74" i="4" s="1"/>
  <c r="BA74" i="4"/>
  <c r="AN74" i="4"/>
  <c r="AP74" i="4" s="1"/>
  <c r="Z74" i="4"/>
  <c r="AB74" i="4" s="1"/>
  <c r="BJ74" i="4"/>
  <c r="BL74" i="4" s="1"/>
  <c r="BB74" i="4"/>
  <c r="AR74" i="4" l="1"/>
  <c r="AT74" i="4" s="1"/>
  <c r="AQ74" i="4"/>
  <c r="AS74" i="4" s="1"/>
  <c r="AD74" i="4"/>
  <c r="AF74" i="4" s="1"/>
  <c r="AC74" i="4"/>
  <c r="AE74" i="4" s="1"/>
  <c r="BR74" i="4" l="1"/>
  <c r="BQ74" i="4"/>
  <c r="BN74" i="4"/>
  <c r="BO74" i="4" s="1"/>
  <c r="BM74" i="4"/>
  <c r="BS74" i="4"/>
  <c r="BW74" i="4" l="1"/>
  <c r="C74" i="4" s="1"/>
  <c r="BU74" i="4"/>
  <c r="K74" i="4" s="1"/>
  <c r="BX74" i="4"/>
  <c r="D74" i="4" s="1"/>
  <c r="BV74" i="4"/>
  <c r="L74" i="4" s="1"/>
  <c r="AX75" i="4" l="1"/>
  <c r="V75" i="4"/>
  <c r="N75" i="4"/>
  <c r="P76" i="4" s="1"/>
  <c r="R77" i="4" s="1"/>
  <c r="AV75" i="4"/>
  <c r="T75" i="4"/>
  <c r="W75" i="4"/>
  <c r="BD75" i="4"/>
  <c r="AH75" i="4"/>
  <c r="F75" i="4"/>
  <c r="AK75" i="4"/>
  <c r="BF75" i="4"/>
  <c r="AI75" i="4"/>
  <c r="AW75" i="4"/>
  <c r="U75" i="4"/>
  <c r="M75" i="4"/>
  <c r="O76" i="4" s="1"/>
  <c r="Q77" i="4" s="1"/>
  <c r="X75" i="4"/>
  <c r="AU75" i="4"/>
  <c r="S75" i="4"/>
  <c r="AL75" i="4"/>
  <c r="BC75" i="4"/>
  <c r="AG75" i="4"/>
  <c r="E75" i="4"/>
  <c r="AJ75" i="4"/>
  <c r="BE75" i="4"/>
  <c r="BB75" i="4" l="1"/>
  <c r="BA75" i="4"/>
  <c r="AM75" i="4"/>
  <c r="AO75" i="4" s="1"/>
  <c r="BI75" i="4"/>
  <c r="BK75" i="4" s="1"/>
  <c r="AN75" i="4"/>
  <c r="AP75" i="4" s="1"/>
  <c r="BJ75" i="4"/>
  <c r="BL75" i="4" s="1"/>
  <c r="G76" i="4"/>
  <c r="I77" i="4" s="1"/>
  <c r="BG76" i="4"/>
  <c r="Y75" i="4"/>
  <c r="AA75" i="4" s="1"/>
  <c r="H76" i="4"/>
  <c r="J77" i="4" s="1"/>
  <c r="BH76" i="4"/>
  <c r="Z75" i="4"/>
  <c r="AB75" i="4" s="1"/>
  <c r="AD75" i="4" l="1"/>
  <c r="AF75" i="4" s="1"/>
  <c r="AC75" i="4"/>
  <c r="AE75" i="4" s="1"/>
  <c r="AR75" i="4"/>
  <c r="AT75" i="4" s="1"/>
  <c r="AQ75" i="4"/>
  <c r="AS75" i="4" s="1"/>
  <c r="BN75" i="4" l="1"/>
  <c r="BO75" i="4" s="1"/>
  <c r="BM75" i="4"/>
  <c r="BQ75" i="4"/>
  <c r="BR75" i="4"/>
  <c r="BS75" i="4" s="1"/>
  <c r="BW75" i="4" l="1"/>
  <c r="C75" i="4" s="1"/>
  <c r="BU75" i="4"/>
  <c r="K75" i="4" s="1"/>
  <c r="BX75" i="4"/>
  <c r="D75" i="4" s="1"/>
  <c r="BV75" i="4"/>
  <c r="L75" i="4" s="1"/>
  <c r="AV76" i="4" l="1"/>
  <c r="T76" i="4"/>
  <c r="W76" i="4"/>
  <c r="AX76" i="4"/>
  <c r="V76" i="4"/>
  <c r="N76" i="4"/>
  <c r="P77" i="4" s="1"/>
  <c r="R78" i="4" s="1"/>
  <c r="BF76" i="4"/>
  <c r="AI76" i="4"/>
  <c r="BD76" i="4"/>
  <c r="AH76" i="4"/>
  <c r="F76" i="4"/>
  <c r="AK76" i="4"/>
  <c r="X76" i="4"/>
  <c r="AU76" i="4"/>
  <c r="S76" i="4"/>
  <c r="U76" i="4"/>
  <c r="AW76" i="4"/>
  <c r="M76" i="4"/>
  <c r="O77" i="4" s="1"/>
  <c r="Q78" i="4" s="1"/>
  <c r="AJ76" i="4"/>
  <c r="BE76" i="4"/>
  <c r="AL76" i="4"/>
  <c r="BC76" i="4"/>
  <c r="E76" i="4"/>
  <c r="AG76" i="4"/>
  <c r="AM76" i="4" l="1"/>
  <c r="AO76" i="4" s="1"/>
  <c r="BG77" i="4"/>
  <c r="G77" i="4"/>
  <c r="I78" i="4" s="1"/>
  <c r="Y76" i="4"/>
  <c r="AA76" i="4" s="1"/>
  <c r="BH77" i="4"/>
  <c r="H77" i="4"/>
  <c r="J78" i="4" s="1"/>
  <c r="BI76" i="4"/>
  <c r="BK76" i="4" s="1"/>
  <c r="BA76" i="4"/>
  <c r="AN76" i="4"/>
  <c r="AP76" i="4" s="1"/>
  <c r="Z76" i="4"/>
  <c r="AB76" i="4" s="1"/>
  <c r="BJ76" i="4"/>
  <c r="BL76" i="4" s="1"/>
  <c r="BB76" i="4"/>
  <c r="AD76" i="4" l="1"/>
  <c r="AF76" i="4" s="1"/>
  <c r="AR76" i="4"/>
  <c r="AT76" i="4" s="1"/>
  <c r="AC76" i="4"/>
  <c r="AE76" i="4" s="1"/>
  <c r="AQ76" i="4"/>
  <c r="AS76" i="4" s="1"/>
  <c r="BR76" i="4" l="1"/>
  <c r="BS76" i="4" s="1"/>
  <c r="BQ76" i="4"/>
  <c r="BM76" i="4"/>
  <c r="BN76" i="4"/>
  <c r="BO76" i="4" s="1"/>
  <c r="BW76" i="4" l="1"/>
  <c r="C76" i="4" s="1"/>
  <c r="BU76" i="4"/>
  <c r="K76" i="4" s="1"/>
  <c r="BX76" i="4"/>
  <c r="D76" i="4" s="1"/>
  <c r="BV76" i="4"/>
  <c r="L76" i="4" s="1"/>
  <c r="AX77" i="4" l="1"/>
  <c r="V77" i="4"/>
  <c r="N77" i="4"/>
  <c r="P78" i="4" s="1"/>
  <c r="R79" i="4" s="1"/>
  <c r="AV77" i="4"/>
  <c r="T77" i="4"/>
  <c r="W77" i="4"/>
  <c r="BD77" i="4"/>
  <c r="AH77" i="4"/>
  <c r="F77" i="4"/>
  <c r="AK77" i="4"/>
  <c r="BF77" i="4"/>
  <c r="AI77" i="4"/>
  <c r="AW77" i="4"/>
  <c r="U77" i="4"/>
  <c r="M77" i="4"/>
  <c r="O78" i="4" s="1"/>
  <c r="Q79" i="4" s="1"/>
  <c r="X77" i="4"/>
  <c r="S77" i="4"/>
  <c r="AU77" i="4"/>
  <c r="AL77" i="4"/>
  <c r="BC77" i="4"/>
  <c r="AG77" i="4"/>
  <c r="E77" i="4"/>
  <c r="AJ77" i="4"/>
  <c r="BE77" i="4"/>
  <c r="BI77" i="4" l="1"/>
  <c r="BK77" i="4" s="1"/>
  <c r="AN77" i="4"/>
  <c r="AP77" i="4" s="1"/>
  <c r="BB77" i="4"/>
  <c r="AM77" i="4"/>
  <c r="AO77" i="4" s="1"/>
  <c r="Y77" i="4"/>
  <c r="AA77" i="4" s="1"/>
  <c r="BJ77" i="4"/>
  <c r="BL77" i="4" s="1"/>
  <c r="G78" i="4"/>
  <c r="I79" i="4" s="1"/>
  <c r="BG78" i="4"/>
  <c r="BA77" i="4"/>
  <c r="H78" i="4"/>
  <c r="J79" i="4" s="1"/>
  <c r="BH78" i="4"/>
  <c r="Z77" i="4"/>
  <c r="AB77" i="4" s="1"/>
  <c r="AD77" i="4" l="1"/>
  <c r="AF77" i="4" s="1"/>
  <c r="AQ77" i="4"/>
  <c r="AS77" i="4" s="1"/>
  <c r="AR77" i="4"/>
  <c r="AT77" i="4" s="1"/>
  <c r="AC77" i="4"/>
  <c r="AE77" i="4" s="1"/>
  <c r="BQ77" i="4" l="1"/>
  <c r="BR77" i="4"/>
  <c r="BS77" i="4" s="1"/>
  <c r="BN77" i="4"/>
  <c r="BO77" i="4" s="1"/>
  <c r="BM77" i="4"/>
  <c r="BW77" i="4" l="1"/>
  <c r="C77" i="4" s="1"/>
  <c r="BU77" i="4"/>
  <c r="K77" i="4" s="1"/>
  <c r="BX77" i="4"/>
  <c r="D77" i="4" s="1"/>
  <c r="BV77" i="4"/>
  <c r="L77" i="4" s="1"/>
  <c r="BF78" i="4" l="1"/>
  <c r="AI78" i="4"/>
  <c r="BD78" i="4"/>
  <c r="AH78" i="4"/>
  <c r="F78" i="4"/>
  <c r="AK78" i="4"/>
  <c r="X78" i="4"/>
  <c r="AU78" i="4"/>
  <c r="S78" i="4"/>
  <c r="M78" i="4"/>
  <c r="O79" i="4" s="1"/>
  <c r="Q80" i="4" s="1"/>
  <c r="U78" i="4"/>
  <c r="AW78" i="4"/>
  <c r="AV78" i="4"/>
  <c r="T78" i="4"/>
  <c r="W78" i="4"/>
  <c r="AX78" i="4"/>
  <c r="V78" i="4"/>
  <c r="N78" i="4"/>
  <c r="P79" i="4" s="1"/>
  <c r="R80" i="4" s="1"/>
  <c r="AJ78" i="4"/>
  <c r="BE78" i="4"/>
  <c r="AL78" i="4"/>
  <c r="BC78" i="4"/>
  <c r="E78" i="4"/>
  <c r="AG78" i="4"/>
  <c r="BA78" i="4" l="1"/>
  <c r="AN78" i="4"/>
  <c r="AP78" i="4" s="1"/>
  <c r="BG79" i="4"/>
  <c r="G79" i="4"/>
  <c r="I80" i="4" s="1"/>
  <c r="BJ78" i="4"/>
  <c r="BL78" i="4" s="1"/>
  <c r="BI78" i="4"/>
  <c r="BK78" i="4" s="1"/>
  <c r="AB78" i="4"/>
  <c r="Z78" i="4"/>
  <c r="AM78" i="4"/>
  <c r="AO78" i="4" s="1"/>
  <c r="BB78" i="4"/>
  <c r="Y78" i="4"/>
  <c r="AA78" i="4" s="1"/>
  <c r="BH79" i="4"/>
  <c r="H79" i="4"/>
  <c r="J80" i="4" s="1"/>
  <c r="AC78" i="4" l="1"/>
  <c r="AE78" i="4" s="1"/>
  <c r="AR78" i="4"/>
  <c r="AT78" i="4" s="1"/>
  <c r="AQ78" i="4"/>
  <c r="AS78" i="4" s="1"/>
  <c r="AD78" i="4"/>
  <c r="AF78" i="4" s="1"/>
  <c r="BR78" i="4" l="1"/>
  <c r="BQ78" i="4"/>
  <c r="BS78" i="4"/>
  <c r="BN78" i="4"/>
  <c r="BO78" i="4" s="1"/>
  <c r="BM78" i="4"/>
  <c r="BX78" i="4" l="1"/>
  <c r="D78" i="4" s="1"/>
  <c r="BV78" i="4"/>
  <c r="L78" i="4" s="1"/>
  <c r="BW78" i="4"/>
  <c r="C78" i="4" s="1"/>
  <c r="BU78" i="4"/>
  <c r="K78" i="4" s="1"/>
  <c r="AL79" i="4" l="1"/>
  <c r="BC79" i="4"/>
  <c r="AG79" i="4"/>
  <c r="E79" i="4"/>
  <c r="AJ79" i="4"/>
  <c r="BE79" i="4"/>
  <c r="AW79" i="4"/>
  <c r="U79" i="4"/>
  <c r="M79" i="4"/>
  <c r="O80" i="4" s="1"/>
  <c r="Q81" i="4" s="1"/>
  <c r="X79" i="4"/>
  <c r="S79" i="4"/>
  <c r="AU79" i="4"/>
  <c r="AX79" i="4"/>
  <c r="V79" i="4"/>
  <c r="N79" i="4"/>
  <c r="P80" i="4" s="1"/>
  <c r="R81" i="4" s="1"/>
  <c r="AV79" i="4"/>
  <c r="BB79" i="4" s="1"/>
  <c r="T79" i="4"/>
  <c r="W79" i="4"/>
  <c r="BD79" i="4"/>
  <c r="AH79" i="4"/>
  <c r="F79" i="4"/>
  <c r="AK79" i="4"/>
  <c r="BF79" i="4"/>
  <c r="AI79" i="4"/>
  <c r="BA79" i="4" l="1"/>
  <c r="G80" i="4"/>
  <c r="I81" i="4" s="1"/>
  <c r="BG80" i="4"/>
  <c r="BJ79" i="4"/>
  <c r="BL79" i="4" s="1"/>
  <c r="Y79" i="4"/>
  <c r="AA79" i="4" s="1"/>
  <c r="AM79" i="4"/>
  <c r="AO79" i="4" s="1"/>
  <c r="AN79" i="4"/>
  <c r="AP79" i="4" s="1"/>
  <c r="BI79" i="4"/>
  <c r="BK79" i="4" s="1"/>
  <c r="H80" i="4"/>
  <c r="J81" i="4" s="1"/>
  <c r="BH80" i="4"/>
  <c r="Z79" i="4"/>
  <c r="AB79" i="4" s="1"/>
  <c r="AR79" i="4" l="1"/>
  <c r="AT79" i="4" s="1"/>
  <c r="AQ79" i="4"/>
  <c r="AS79" i="4" s="1"/>
  <c r="AC79" i="4"/>
  <c r="AE79" i="4" s="1"/>
  <c r="AD79" i="4"/>
  <c r="AF79" i="4" s="1"/>
  <c r="BQ79" i="4" l="1"/>
  <c r="BR79" i="4"/>
  <c r="BS79" i="4" s="1"/>
  <c r="BN79" i="4"/>
  <c r="BO79" i="4" s="1"/>
  <c r="BM79" i="4"/>
  <c r="BW79" i="4" l="1"/>
  <c r="C79" i="4" s="1"/>
  <c r="BU79" i="4"/>
  <c r="K79" i="4" s="1"/>
  <c r="BX79" i="4"/>
  <c r="D79" i="4" s="1"/>
  <c r="BV79" i="4"/>
  <c r="L79" i="4" s="1"/>
  <c r="AV80" i="4" l="1"/>
  <c r="T80" i="4"/>
  <c r="W80" i="4"/>
  <c r="AX80" i="4"/>
  <c r="V80" i="4"/>
  <c r="N80" i="4"/>
  <c r="P81" i="4" s="1"/>
  <c r="R82" i="4" s="1"/>
  <c r="BF80" i="4"/>
  <c r="AI80" i="4"/>
  <c r="BD80" i="4"/>
  <c r="AH80" i="4"/>
  <c r="F80" i="4"/>
  <c r="AK80" i="4"/>
  <c r="X80" i="4"/>
  <c r="AU80" i="4"/>
  <c r="S80" i="4"/>
  <c r="AW80" i="4"/>
  <c r="M80" i="4"/>
  <c r="O81" i="4" s="1"/>
  <c r="Q82" i="4" s="1"/>
  <c r="U80" i="4"/>
  <c r="AJ80" i="4"/>
  <c r="BE80" i="4"/>
  <c r="AL80" i="4"/>
  <c r="AG80" i="4"/>
  <c r="BC80" i="4"/>
  <c r="E80" i="4"/>
  <c r="BA80" i="4" l="1"/>
  <c r="BI80" i="4"/>
  <c r="BK80" i="4" s="1"/>
  <c r="Y80" i="4"/>
  <c r="AA80" i="4" s="1"/>
  <c r="BH81" i="4"/>
  <c r="H81" i="4"/>
  <c r="J82" i="4" s="1"/>
  <c r="AN80" i="4"/>
  <c r="AP80" i="4" s="1"/>
  <c r="Z80" i="4"/>
  <c r="AB80" i="4" s="1"/>
  <c r="BG81" i="4"/>
  <c r="G81" i="4"/>
  <c r="I82" i="4" s="1"/>
  <c r="AM80" i="4"/>
  <c r="AO80" i="4" s="1"/>
  <c r="BJ80" i="4"/>
  <c r="BL80" i="4" s="1"/>
  <c r="BB80" i="4"/>
  <c r="AC80" i="4" l="1"/>
  <c r="AE80" i="4" s="1"/>
  <c r="AD80" i="4"/>
  <c r="AF80" i="4" s="1"/>
  <c r="AQ80" i="4"/>
  <c r="AS80" i="4" s="1"/>
  <c r="AR80" i="4"/>
  <c r="AT80" i="4" s="1"/>
  <c r="BM80" i="4" l="1"/>
  <c r="BN80" i="4"/>
  <c r="BO80" i="4" s="1"/>
  <c r="BR80" i="4"/>
  <c r="BS80" i="4" s="1"/>
  <c r="BQ80" i="4"/>
  <c r="BW80" i="4" l="1"/>
  <c r="C80" i="4" s="1"/>
  <c r="BU80" i="4"/>
  <c r="K80" i="4" s="1"/>
  <c r="BX80" i="4"/>
  <c r="D80" i="4" s="1"/>
  <c r="BV80" i="4"/>
  <c r="L80" i="4" s="1"/>
  <c r="AX81" i="4" l="1"/>
  <c r="V81" i="4"/>
  <c r="N81" i="4"/>
  <c r="P82" i="4" s="1"/>
  <c r="R83" i="4" s="1"/>
  <c r="AV81" i="4"/>
  <c r="T81" i="4"/>
  <c r="W81" i="4"/>
  <c r="BD81" i="4"/>
  <c r="AH81" i="4"/>
  <c r="F81" i="4"/>
  <c r="AK81" i="4"/>
  <c r="BF81" i="4"/>
  <c r="AI81" i="4"/>
  <c r="AW81" i="4"/>
  <c r="U81" i="4"/>
  <c r="M81" i="4"/>
  <c r="O82" i="4" s="1"/>
  <c r="Q83" i="4" s="1"/>
  <c r="X81" i="4"/>
  <c r="S81" i="4"/>
  <c r="AU81" i="4"/>
  <c r="AL81" i="4"/>
  <c r="BC81" i="4"/>
  <c r="AG81" i="4"/>
  <c r="E81" i="4"/>
  <c r="AJ81" i="4"/>
  <c r="BE81" i="4"/>
  <c r="AM81" i="4" l="1"/>
  <c r="AO81" i="4" s="1"/>
  <c r="BI81" i="4"/>
  <c r="BK81" i="4" s="1"/>
  <c r="AN81" i="4"/>
  <c r="AP81" i="4" s="1"/>
  <c r="BB81" i="4"/>
  <c r="BJ81" i="4"/>
  <c r="BL81" i="4" s="1"/>
  <c r="BG82" i="4"/>
  <c r="G82" i="4"/>
  <c r="I83" i="4" s="1"/>
  <c r="BA81" i="4"/>
  <c r="Y81" i="4"/>
  <c r="AA81" i="4" s="1"/>
  <c r="BH82" i="4"/>
  <c r="H82" i="4"/>
  <c r="J83" i="4" s="1"/>
  <c r="Z81" i="4"/>
  <c r="AB81" i="4" s="1"/>
  <c r="AR81" i="4" l="1"/>
  <c r="AT81" i="4" s="1"/>
  <c r="AD81" i="4"/>
  <c r="AF81" i="4" s="1"/>
  <c r="AQ81" i="4"/>
  <c r="AS81" i="4" s="1"/>
  <c r="AC81" i="4"/>
  <c r="AE81" i="4" s="1"/>
  <c r="BN81" i="4" l="1"/>
  <c r="BO81" i="4" s="1"/>
  <c r="BM81" i="4"/>
  <c r="BQ81" i="4"/>
  <c r="BR81" i="4"/>
  <c r="BS81" i="4" s="1"/>
  <c r="BW81" i="4" l="1"/>
  <c r="C81" i="4" s="1"/>
  <c r="BU81" i="4"/>
  <c r="K81" i="4" s="1"/>
  <c r="BX81" i="4"/>
  <c r="D81" i="4" s="1"/>
  <c r="BV81" i="4"/>
  <c r="L81" i="4" s="1"/>
  <c r="AV82" i="4" l="1"/>
  <c r="AX82" i="4"/>
  <c r="T82" i="4"/>
  <c r="W82" i="4"/>
  <c r="V82" i="4"/>
  <c r="N82" i="4"/>
  <c r="P83" i="4" s="1"/>
  <c r="R84" i="4" s="1"/>
  <c r="BF82" i="4"/>
  <c r="AI82" i="4"/>
  <c r="BD82" i="4"/>
  <c r="AK82" i="4"/>
  <c r="AH82" i="4"/>
  <c r="F82" i="4"/>
  <c r="AU82" i="4"/>
  <c r="BA82" i="4" s="1"/>
  <c r="X82" i="4"/>
  <c r="S82" i="4"/>
  <c r="AW82" i="4"/>
  <c r="U82" i="4"/>
  <c r="M82" i="4"/>
  <c r="O83" i="4" s="1"/>
  <c r="Q84" i="4" s="1"/>
  <c r="AJ82" i="4"/>
  <c r="BE82" i="4"/>
  <c r="AL82" i="4"/>
  <c r="BC82" i="4"/>
  <c r="E82" i="4"/>
  <c r="AG82" i="4"/>
  <c r="BH83" i="4" l="1"/>
  <c r="H83" i="4"/>
  <c r="J84" i="4" s="1"/>
  <c r="AM82" i="4"/>
  <c r="AO82" i="4" s="1"/>
  <c r="BG83" i="4"/>
  <c r="G83" i="4"/>
  <c r="I84" i="4" s="1"/>
  <c r="Y82" i="4"/>
  <c r="AA82" i="4" s="1"/>
  <c r="AN82" i="4"/>
  <c r="AP82" i="4" s="1"/>
  <c r="Z82" i="4"/>
  <c r="AB82" i="4" s="1"/>
  <c r="BI82" i="4"/>
  <c r="BK82" i="4" s="1"/>
  <c r="BJ82" i="4"/>
  <c r="BL82" i="4" s="1"/>
  <c r="BB82" i="4"/>
  <c r="AR82" i="4" l="1"/>
  <c r="AT82" i="4" s="1"/>
  <c r="AQ82" i="4"/>
  <c r="AS82" i="4" s="1"/>
  <c r="AD82" i="4"/>
  <c r="AF82" i="4" s="1"/>
  <c r="AC82" i="4"/>
  <c r="AE82" i="4" s="1"/>
  <c r="BN82" i="4" l="1"/>
  <c r="BO82" i="4" s="1"/>
  <c r="BM82" i="4"/>
  <c r="BR82" i="4"/>
  <c r="BS82" i="4" s="1"/>
  <c r="BQ82" i="4"/>
  <c r="BW82" i="4" l="1"/>
  <c r="C82" i="4" s="1"/>
  <c r="BU82" i="4"/>
  <c r="K82" i="4" s="1"/>
  <c r="BX82" i="4"/>
  <c r="D82" i="4" s="1"/>
  <c r="BV82" i="4"/>
  <c r="L82" i="4" s="1"/>
  <c r="AL83" i="4" l="1"/>
  <c r="BC83" i="4"/>
  <c r="AG83" i="4"/>
  <c r="E83" i="4"/>
  <c r="AJ83" i="4"/>
  <c r="BE83" i="4"/>
  <c r="AX83" i="4"/>
  <c r="V83" i="4"/>
  <c r="N83" i="4"/>
  <c r="P84" i="4" s="1"/>
  <c r="R85" i="4" s="1"/>
  <c r="R86" i="4" s="1"/>
  <c r="AV83" i="4"/>
  <c r="BB83" i="4" s="1"/>
  <c r="T83" i="4"/>
  <c r="W83" i="4"/>
  <c r="AW83" i="4"/>
  <c r="U83" i="4"/>
  <c r="M83" i="4"/>
  <c r="O84" i="4" s="1"/>
  <c r="Q85" i="4" s="1"/>
  <c r="Q86" i="4" s="1"/>
  <c r="C97" i="4" s="1"/>
  <c r="X83" i="4"/>
  <c r="S83" i="4"/>
  <c r="AU83" i="4"/>
  <c r="BA83" i="4" s="1"/>
  <c r="BD83" i="4"/>
  <c r="AH83" i="4"/>
  <c r="F83" i="4"/>
  <c r="AK83" i="4"/>
  <c r="BF83" i="4"/>
  <c r="AI83" i="4"/>
  <c r="BJ83" i="4" l="1"/>
  <c r="BL83" i="4" s="1"/>
  <c r="H84" i="4"/>
  <c r="J85" i="4" s="1"/>
  <c r="J86" i="4" s="1"/>
  <c r="BH84" i="4"/>
  <c r="Y83" i="4"/>
  <c r="AA83" i="4" s="1"/>
  <c r="AN83" i="4"/>
  <c r="AP83" i="4" s="1"/>
  <c r="G84" i="4"/>
  <c r="I85" i="4" s="1"/>
  <c r="I86" i="4" s="1"/>
  <c r="C93" i="4" s="1"/>
  <c r="BG84" i="4"/>
  <c r="Z83" i="4"/>
  <c r="AB83" i="4" s="1"/>
  <c r="AM83" i="4"/>
  <c r="AO83" i="4" s="1"/>
  <c r="BI83" i="4"/>
  <c r="BK83" i="4" s="1"/>
  <c r="AC83" i="4" l="1"/>
  <c r="AE83" i="4" s="1"/>
  <c r="AQ83" i="4"/>
  <c r="AS83" i="4" s="1"/>
  <c r="AR83" i="4"/>
  <c r="AT83" i="4" s="1"/>
  <c r="AD83" i="4"/>
  <c r="AF83" i="4" s="1"/>
  <c r="BM83" i="4" l="1"/>
  <c r="BN83" i="4"/>
  <c r="BO83" i="4" s="1"/>
  <c r="BQ83" i="4"/>
  <c r="BR83" i="4"/>
  <c r="BS83" i="4" s="1"/>
  <c r="BW83" i="4" l="1"/>
  <c r="C83" i="4" s="1"/>
  <c r="BU83" i="4"/>
  <c r="K83" i="4" s="1"/>
  <c r="BX83" i="4"/>
  <c r="D83" i="4" s="1"/>
  <c r="BV83" i="4"/>
  <c r="L83" i="4" s="1"/>
  <c r="AV84" i="4" l="1"/>
  <c r="T84" i="4"/>
  <c r="W84" i="4"/>
  <c r="AX84" i="4"/>
  <c r="V84" i="4"/>
  <c r="N84" i="4"/>
  <c r="P85" i="4" s="1"/>
  <c r="P86" i="4" s="1"/>
  <c r="BF84" i="4"/>
  <c r="AI84" i="4"/>
  <c r="BD84" i="4"/>
  <c r="AH84" i="4"/>
  <c r="F84" i="4"/>
  <c r="AK84" i="4"/>
  <c r="X84" i="4"/>
  <c r="AU84" i="4"/>
  <c r="S84" i="4"/>
  <c r="M84" i="4"/>
  <c r="O85" i="4" s="1"/>
  <c r="O86" i="4" s="1"/>
  <c r="C96" i="4" s="1"/>
  <c r="U84" i="4"/>
  <c r="AW84" i="4"/>
  <c r="AJ84" i="4"/>
  <c r="BE84" i="4"/>
  <c r="AL84" i="4"/>
  <c r="BC84" i="4"/>
  <c r="E84" i="4"/>
  <c r="AG84" i="4"/>
  <c r="BI84" i="4" l="1"/>
  <c r="BK84" i="4" s="1"/>
  <c r="AM84" i="4"/>
  <c r="AO84" i="4" s="1"/>
  <c r="BG85" i="4"/>
  <c r="G85" i="4"/>
  <c r="Y84" i="4"/>
  <c r="AA84" i="4" s="1"/>
  <c r="BH85" i="4"/>
  <c r="H85" i="4"/>
  <c r="H86" i="4" s="1"/>
  <c r="BA84" i="4"/>
  <c r="AN84" i="4"/>
  <c r="AP84" i="4" s="1"/>
  <c r="Z84" i="4"/>
  <c r="AB84" i="4" s="1"/>
  <c r="BJ84" i="4"/>
  <c r="BL84" i="4" s="1"/>
  <c r="BB84" i="4"/>
  <c r="AD84" i="4" l="1"/>
  <c r="AF84" i="4" s="1"/>
  <c r="AQ84" i="4"/>
  <c r="AS84" i="4" s="1"/>
  <c r="AR84" i="4"/>
  <c r="AT84" i="4" s="1"/>
  <c r="AC84" i="4"/>
  <c r="AE84" i="4" s="1"/>
  <c r="G86" i="4"/>
  <c r="C92" i="4" s="1"/>
  <c r="BM84" i="4" l="1"/>
  <c r="BN84" i="4"/>
  <c r="BO84" i="4" s="1"/>
  <c r="BR84" i="4"/>
  <c r="BS84" i="4" s="1"/>
  <c r="BQ84" i="4"/>
  <c r="BW84" i="4" l="1"/>
  <c r="C84" i="4" s="1"/>
  <c r="BU84" i="4"/>
  <c r="K84" i="4" s="1"/>
  <c r="BX84" i="4"/>
  <c r="D84" i="4" s="1"/>
  <c r="BV84" i="4"/>
  <c r="L84" i="4" s="1"/>
  <c r="AX85" i="4" l="1"/>
  <c r="V85" i="4"/>
  <c r="N85" i="4"/>
  <c r="N86" i="4" s="1"/>
  <c r="AV85" i="4"/>
  <c r="T85" i="4"/>
  <c r="W85" i="4"/>
  <c r="BD85" i="4"/>
  <c r="AH85" i="4"/>
  <c r="F85" i="4"/>
  <c r="F86" i="4" s="1"/>
  <c r="AK85" i="4"/>
  <c r="BF85" i="4"/>
  <c r="AI85" i="4"/>
  <c r="AW85" i="4"/>
  <c r="U85" i="4"/>
  <c r="M85" i="4"/>
  <c r="M86" i="4" s="1"/>
  <c r="C95" i="4" s="1"/>
  <c r="X85" i="4"/>
  <c r="S85" i="4"/>
  <c r="AU85" i="4"/>
  <c r="AL85" i="4"/>
  <c r="BC85" i="4"/>
  <c r="AG85" i="4"/>
  <c r="E85" i="4"/>
  <c r="AJ85" i="4"/>
  <c r="BE85" i="4"/>
  <c r="E86" i="4" l="1"/>
  <c r="C91" i="4" s="1"/>
  <c r="BI85" i="4"/>
  <c r="BK85" i="4" s="1"/>
  <c r="AN85" i="4"/>
  <c r="AP85" i="4" s="1"/>
  <c r="BB85" i="4"/>
  <c r="BJ85" i="4"/>
  <c r="BL85" i="4" s="1"/>
  <c r="BA85" i="4"/>
  <c r="AM85" i="4"/>
  <c r="AO85" i="4" s="1"/>
  <c r="Y85" i="4"/>
  <c r="AA85" i="4" s="1"/>
  <c r="Z85" i="4"/>
  <c r="AB85" i="4" s="1"/>
  <c r="AC85" i="4" l="1"/>
  <c r="AE85" i="4" s="1"/>
  <c r="AQ85" i="4"/>
  <c r="AS85" i="4" s="1"/>
  <c r="AR85" i="4"/>
  <c r="AT85" i="4" s="1"/>
  <c r="AD85" i="4"/>
  <c r="AF85" i="4" s="1"/>
  <c r="BN85" i="4" l="1"/>
  <c r="BM85" i="4"/>
  <c r="BQ85" i="4"/>
  <c r="BR85" i="4"/>
  <c r="BS85" i="4" s="1"/>
  <c r="BO85" i="4"/>
  <c r="BW85" i="4" l="1"/>
  <c r="C85" i="4" s="1"/>
  <c r="BU85" i="4"/>
  <c r="K85" i="4" s="1"/>
  <c r="K86" i="4" s="1"/>
  <c r="C94" i="4" s="1"/>
  <c r="BX85" i="4"/>
  <c r="D85" i="4" s="1"/>
  <c r="D86" i="4" s="1"/>
  <c r="BV85" i="4"/>
  <c r="L85" i="4" s="1"/>
  <c r="L86" i="4" s="1"/>
  <c r="C86" i="4" l="1"/>
  <c r="C90" i="4" s="1"/>
  <c r="D2" i="4" s="1"/>
  <c r="B8" i="1" s="1"/>
</calcChain>
</file>

<file path=xl/sharedStrings.xml><?xml version="1.0" encoding="utf-8"?>
<sst xmlns="http://schemas.openxmlformats.org/spreadsheetml/2006/main" count="387" uniqueCount="387">
  <si>
    <t>🔐  SHA-512 — только формулы Excel, без VBA</t>
  </si>
  <si>
    <t>64-битная арифметика через hi/lo пары 32-бит  ·  Excel 2013+  ·  Без макросов</t>
  </si>
  <si>
    <t>✏️  ВВЕДИТЕ СЛОВО  (1–7 символов ASCII):</t>
  </si>
  <si>
    <t>hello</t>
  </si>
  <si>
    <t>🔑  SHA-512 РЕЗУЛЬТАТ:</t>
  </si>
  <si>
    <t>📌 Листы: 📖 Как работает SHA-512  |  📦 Константы  |  ⚙️ Вычисление</t>
  </si>
  <si>
    <t>✅ Верифицировано: "hello" → 9b71d224bd62f3785d96d46ad3ea3d73319bfbc2890caadae2dff72519673ca72323c3d99ba5c11d7c7acc6e14b8c5da0c4663475c2e5c3adef46f73bcdec043</t>
  </si>
  <si>
    <t>⚠️  Максимум 7 символов  ·  Только ASCII  ·  Excel 2013+  ·  Пересчёт ~10–30 сек</t>
  </si>
  <si>
    <t>📖  Как работает SHA-512 — пошаговое объяснение</t>
  </si>
  <si>
    <t xml:space="preserve">  Обзор SHA-512</t>
  </si>
  <si>
    <t>SHA-512 — криптографическая хэш-функция семейства SHA-2.
Блок: 1024 бита (128 байт). Хэш: 512 бит (64 байта = 128 hex символов).
80 раундов (vs 64 у SHA-256). Все операции — над 64-битными словами.</t>
  </si>
  <si>
    <t xml:space="preserve">  Главное отличие от SHA-256</t>
  </si>
  <si>
    <t>SHA-256 работает с 32-битными словами (умещаются в double Excel).
SHA-512 работает с 64-битными словами (до 2⁶⁴ − 1 = 18 446 744 073 709 551 615).
Excel хранит числа как double (точность до 2⁵³). Поэтому каждое 64-битное слово
хранится как ПАРА ячеек: hi (старшие 32 бита) и lo (младшие 32 бита).
x = hi × 2³² + lo</t>
  </si>
  <si>
    <t xml:space="preserve">  Арифметика hi/lo</t>
  </si>
  <si>
    <t>ADD64: lo_result = MOD(a_lo + b_lo, 2³²)
       carry     = INT((a_lo + b_lo) / 2³²)
       hi_result = MOD(a_hi + b_hi + carry, 2³²)
ROTR64(x,n) для n&lt;32:
       new_hi = MOD( INT(hi/2ⁿ) + MOD(lo,2ⁿ)×2^(32−n), 2³² )
       new_lo = MOD( INT(lo/2ⁿ) + MOD(hi,2ⁿ)×2^(32−n), 2³² )
ROTR64(x,n) для n≥32: меняем hi↔lo, затем ROTR(swapped, n−32)</t>
  </si>
  <si>
    <t xml:space="preserve">  Дополнение (Padding)</t>
  </si>
  <si>
    <t>После сообщения: байт 0x80, затем нули до позиции 111 (mod 128).
Байты 112..127: 128-битная big-endian длина в битах.
Для ≤7 байт: итого 128 байт = 16 слов по 64 бита = W[0..15].</t>
  </si>
  <si>
    <t xml:space="preserve">  Начальные константы H[0..7]</t>
  </si>
  <si>
    <t>Дробные части квадратных корней первых 8 простых чисел (64-битные):
H0 = 0x6a09e667f3bcc908   H1 = 0xbb67ae8584caa73b
H2 = 0x3c6ef372fe94f82b   H3 = 0xa54ff53a5f1d36f1
H4 = 0x510e527fade682d1   H5 = 0x9b05688c2b3e6c1f
H6 = 0x1f83d9abfb41bd6b   H7 = 0x5be0cd19137e2179</t>
  </si>
  <si>
    <t xml:space="preserve">  Расписание сообщения W[0..79]</t>
  </si>
  <si>
    <t>W[0..15] = 64-битные слова из входного блока (big-endian).
W[i] для i=16..79:
  s0 = ROTR(W[i−15],1) ⊕ ROTR(W[i−15],8) ⊕ SHR(W[i−15],7)
  s1 = ROTR(W[i−2],19) ⊕ ROTR(W[i−2],61) ⊕ SHR(W[i−2],6)
  W[i] = ADD64(W[i−16], s0, W[i−7], s1)
Каждое W[i] хранится как 2 ячейки: Whi и Wlo.</t>
  </si>
  <si>
    <t xml:space="preserve">  80 раундов сжатия</t>
  </si>
  <si>
    <t>Переменные a,b,c,d,e,f,g,h = копии H[0..7] (каждая 64-бит = 2 ячейки).
Каждый шаг:
  S1    = ROTR(e,14) ⊕ ROTR(e,18) ⊕ ROTR(e,41)
  Ch    = AND(e,f) ⊕ AND(¬e,g)         ← e выбирает f или g
  temp1 = ADD64(h, S1, Ch, K[i], W[i])
  S0    = ROTR(a,28) ⊕ ROTR(a,34) ⊕ ROTR(a,39)
  Maj   = AND(a,b) ⊕ AND(a,c) ⊕ AND(b,c)
  temp2 = ADD64(S0, Maj)
  h←g, g←f, f←e, e←ADD64(d,temp1), d←c, c←b, b←a, a←ADD64(temp1,temp2)</t>
  </si>
  <si>
    <t xml:space="preserve">  Финализация и вывод</t>
  </si>
  <si>
    <t>После 80 шагов: H[i] += {a,b,c,d,e,f,g,h}[i] (mod 2⁶⁴) для i=0..7.
Вывод: H[0]||H[1]||...||H[7] big-endian = 128 hex символов = 512 бит.</t>
  </si>
  <si>
    <t xml:space="preserve">  Реализация в Excel</t>
  </si>
  <si>
    <t>· Каждое 64-битное слово = 2 ячейки (hi, lo)
· ROTR64, SHR64: чистые MOD/INT формулы (не нужен BITAND!)
· XOR64: через AND32 (побайтовое разложение) + a+b−2·AND
· AND64: BITAND(hi_a, hi_b) и BITAND(lo_a, lo_b) — по 32 бита каждый
· ADD64: MOD + INT для переноса
· Каждый из 80 шагов — строка с ~40 вспомогательными ячейками
· Расписание W[16..79] — отдельная область на листе ⚙️ Вычисление</t>
  </si>
  <si>
    <t>📦  SHA-512 Константы K[i] (из кубических корней простых чисел)</t>
  </si>
  <si>
    <t>K[i] = floor(2⁶⁴ × ∛p[i])  для i=0..79.  Хранятся как hi/lo пары: cols C,D = K[i]_hi, K[i]_lo  |  cols F,G = K[i]_hi hex, K[i]_lo hex</t>
  </si>
  <si>
    <t>i</t>
  </si>
  <si>
    <t>K[i] hi (dec)</t>
  </si>
  <si>
    <t>K[i] lo (dec)</t>
  </si>
  <si>
    <t>K[i] hex 64</t>
  </si>
  <si>
    <t>K[i] hi hex</t>
  </si>
  <si>
    <t>K[i] lo hex</t>
  </si>
  <si>
    <t>428a2f98d728ae22</t>
  </si>
  <si>
    <t>428a2f98</t>
  </si>
  <si>
    <t>d728ae22</t>
  </si>
  <si>
    <t>7137449123ef65cd</t>
  </si>
  <si>
    <t>71374491</t>
  </si>
  <si>
    <t>23ef65cd</t>
  </si>
  <si>
    <t>b5c0fbcfec4d3b2f</t>
  </si>
  <si>
    <t>b5c0fbcf</t>
  </si>
  <si>
    <t>ec4d3b2f</t>
  </si>
  <si>
    <t>e9b5dba58189dbbc</t>
  </si>
  <si>
    <t>e9b5dba5</t>
  </si>
  <si>
    <t>8189dbbc</t>
  </si>
  <si>
    <t>3956c25bf348b538</t>
  </si>
  <si>
    <t>3956c25b</t>
  </si>
  <si>
    <t>f348b538</t>
  </si>
  <si>
    <t>59f111f1b605d019</t>
  </si>
  <si>
    <t>59f111f1</t>
  </si>
  <si>
    <t>b605d019</t>
  </si>
  <si>
    <t>923f82a4af194f9b</t>
  </si>
  <si>
    <t>923f82a4</t>
  </si>
  <si>
    <t>af194f9b</t>
  </si>
  <si>
    <t>ab1c5ed5da6d8118</t>
  </si>
  <si>
    <t>ab1c5ed5</t>
  </si>
  <si>
    <t>da6d8118</t>
  </si>
  <si>
    <t>d807aa98a3030242</t>
  </si>
  <si>
    <t>d807aa98</t>
  </si>
  <si>
    <t>a3030242</t>
  </si>
  <si>
    <t>12835b0145706fbe</t>
  </si>
  <si>
    <t>12835b01</t>
  </si>
  <si>
    <t>45706fbe</t>
  </si>
  <si>
    <t>243185be4ee4b28c</t>
  </si>
  <si>
    <t>243185be</t>
  </si>
  <si>
    <t>4ee4b28c</t>
  </si>
  <si>
    <t>550c7dc3d5ffb4e2</t>
  </si>
  <si>
    <t>550c7dc3</t>
  </si>
  <si>
    <t>d5ffb4e2</t>
  </si>
  <si>
    <t>72be5d74f27b896f</t>
  </si>
  <si>
    <t>72be5d74</t>
  </si>
  <si>
    <t>f27b896f</t>
  </si>
  <si>
    <t>80deb1fe3b1696b1</t>
  </si>
  <si>
    <t>80deb1fe</t>
  </si>
  <si>
    <t>3b1696b1</t>
  </si>
  <si>
    <t>9bdc06a725c71235</t>
  </si>
  <si>
    <t>9bdc06a7</t>
  </si>
  <si>
    <t>25c71235</t>
  </si>
  <si>
    <t>c19bf174cf692694</t>
  </si>
  <si>
    <t>c19bf174</t>
  </si>
  <si>
    <t>cf692694</t>
  </si>
  <si>
    <t>e49b69c19ef14ad2</t>
  </si>
  <si>
    <t>e49b69c1</t>
  </si>
  <si>
    <t>9ef14ad2</t>
  </si>
  <si>
    <t>efbe4786384f25e3</t>
  </si>
  <si>
    <t>efbe4786</t>
  </si>
  <si>
    <t>384f25e3</t>
  </si>
  <si>
    <t>0fc19dc68b8cd5b5</t>
  </si>
  <si>
    <t>0fc19dc6</t>
  </si>
  <si>
    <t>8b8cd5b5</t>
  </si>
  <si>
    <t>240ca1cc77ac9c65</t>
  </si>
  <si>
    <t>240ca1cc</t>
  </si>
  <si>
    <t>77ac9c65</t>
  </si>
  <si>
    <t>2de92c6f592b0275</t>
  </si>
  <si>
    <t>2de92c6f</t>
  </si>
  <si>
    <t>592b0275</t>
  </si>
  <si>
    <t>4a7484aa6ea6e483</t>
  </si>
  <si>
    <t>4a7484aa</t>
  </si>
  <si>
    <t>6ea6e483</t>
  </si>
  <si>
    <t>5cb0a9dcbd41fbd4</t>
  </si>
  <si>
    <t>5cb0a9dc</t>
  </si>
  <si>
    <t>bd41fbd4</t>
  </si>
  <si>
    <t>76f988da831153b5</t>
  </si>
  <si>
    <t>76f988da</t>
  </si>
  <si>
    <t>831153b5</t>
  </si>
  <si>
    <t>983e5152ee66dfab</t>
  </si>
  <si>
    <t>983e5152</t>
  </si>
  <si>
    <t>ee66dfab</t>
  </si>
  <si>
    <t>a831c66d2db43210</t>
  </si>
  <si>
    <t>a831c66d</t>
  </si>
  <si>
    <t>2db43210</t>
  </si>
  <si>
    <t>b00327c898fb213f</t>
  </si>
  <si>
    <t>b00327c8</t>
  </si>
  <si>
    <t>98fb213f</t>
  </si>
  <si>
    <t>bf597fc7beef0ee4</t>
  </si>
  <si>
    <t>bf597fc7</t>
  </si>
  <si>
    <t>beef0ee4</t>
  </si>
  <si>
    <t>c6e00bf33da88fc2</t>
  </si>
  <si>
    <t>c6e00bf3</t>
  </si>
  <si>
    <t>3da88fc2</t>
  </si>
  <si>
    <t>d5a79147930aa725</t>
  </si>
  <si>
    <t>d5a79147</t>
  </si>
  <si>
    <t>930aa725</t>
  </si>
  <si>
    <t>06ca6351e003826f</t>
  </si>
  <si>
    <t>06ca6351</t>
  </si>
  <si>
    <t>e003826f</t>
  </si>
  <si>
    <t>142929670a0e6e70</t>
  </si>
  <si>
    <t>14292967</t>
  </si>
  <si>
    <t>0a0e6e70</t>
  </si>
  <si>
    <t>27b70a8546d22ffc</t>
  </si>
  <si>
    <t>27b70a85</t>
  </si>
  <si>
    <t>46d22ffc</t>
  </si>
  <si>
    <t>2e1b21385c26c926</t>
  </si>
  <si>
    <t>2e1b2138</t>
  </si>
  <si>
    <t>5c26c926</t>
  </si>
  <si>
    <t>4d2c6dfc5ac42aed</t>
  </si>
  <si>
    <t>4d2c6dfc</t>
  </si>
  <si>
    <t>5ac42aed</t>
  </si>
  <si>
    <t>53380d139d95b3df</t>
  </si>
  <si>
    <t>53380d13</t>
  </si>
  <si>
    <t>9d95b3df</t>
  </si>
  <si>
    <t>650a73548baf63de</t>
  </si>
  <si>
    <t>650a7354</t>
  </si>
  <si>
    <t>8baf63de</t>
  </si>
  <si>
    <t>766a0abb3c77b2a8</t>
  </si>
  <si>
    <t>766a0abb</t>
  </si>
  <si>
    <t>3c77b2a8</t>
  </si>
  <si>
    <t>81c2c92e47edaee6</t>
  </si>
  <si>
    <t>81c2c92e</t>
  </si>
  <si>
    <t>47edaee6</t>
  </si>
  <si>
    <t>92722c851482353b</t>
  </si>
  <si>
    <t>92722c85</t>
  </si>
  <si>
    <t>1482353b</t>
  </si>
  <si>
    <t>a2bfe8a14cf10364</t>
  </si>
  <si>
    <t>a2bfe8a1</t>
  </si>
  <si>
    <t>4cf10364</t>
  </si>
  <si>
    <t>a81a664bbc423001</t>
  </si>
  <si>
    <t>a81a664b</t>
  </si>
  <si>
    <t>bc423001</t>
  </si>
  <si>
    <t>c24b8b70d0f89791</t>
  </si>
  <si>
    <t>c24b8b70</t>
  </si>
  <si>
    <t>d0f89791</t>
  </si>
  <si>
    <t>c76c51a30654be30</t>
  </si>
  <si>
    <t>c76c51a3</t>
  </si>
  <si>
    <t>0654be30</t>
  </si>
  <si>
    <t>d192e819d6ef5218</t>
  </si>
  <si>
    <t>d192e819</t>
  </si>
  <si>
    <t>d6ef5218</t>
  </si>
  <si>
    <t>d69906245565a910</t>
  </si>
  <si>
    <t>d6990624</t>
  </si>
  <si>
    <t>5565a910</t>
  </si>
  <si>
    <t>f40e35855771202a</t>
  </si>
  <si>
    <t>f40e3585</t>
  </si>
  <si>
    <t>5771202a</t>
  </si>
  <si>
    <t>106aa07032bbd1b8</t>
  </si>
  <si>
    <t>106aa070</t>
  </si>
  <si>
    <t>32bbd1b8</t>
  </si>
  <si>
    <t>19a4c116b8d2d0c8</t>
  </si>
  <si>
    <t>19a4c116</t>
  </si>
  <si>
    <t>b8d2d0c8</t>
  </si>
  <si>
    <t>1e376c085141ab53</t>
  </si>
  <si>
    <t>1e376c08</t>
  </si>
  <si>
    <t>5141ab53</t>
  </si>
  <si>
    <t>2748774cdf8eeb99</t>
  </si>
  <si>
    <t>2748774c</t>
  </si>
  <si>
    <t>df8eeb99</t>
  </si>
  <si>
    <t>34b0bcb5e19b48a8</t>
  </si>
  <si>
    <t>34b0bcb5</t>
  </si>
  <si>
    <t>e19b48a8</t>
  </si>
  <si>
    <t>391c0cb3c5c95a63</t>
  </si>
  <si>
    <t>391c0cb3</t>
  </si>
  <si>
    <t>c5c95a63</t>
  </si>
  <si>
    <t>4ed8aa4ae3418acb</t>
  </si>
  <si>
    <t>4ed8aa4a</t>
  </si>
  <si>
    <t>e3418acb</t>
  </si>
  <si>
    <t>5b9cca4f7763e373</t>
  </si>
  <si>
    <t>5b9cca4f</t>
  </si>
  <si>
    <t>7763e373</t>
  </si>
  <si>
    <t>682e6ff3d6b2b8a3</t>
  </si>
  <si>
    <t>682e6ff3</t>
  </si>
  <si>
    <t>d6b2b8a3</t>
  </si>
  <si>
    <t>748f82ee5defb2fc</t>
  </si>
  <si>
    <t>748f82ee</t>
  </si>
  <si>
    <t>5defb2fc</t>
  </si>
  <si>
    <t>78a5636f43172f60</t>
  </si>
  <si>
    <t>78a5636f</t>
  </si>
  <si>
    <t>43172f60</t>
  </si>
  <si>
    <t>84c87814a1f0ab72</t>
  </si>
  <si>
    <t>84c87814</t>
  </si>
  <si>
    <t>a1f0ab72</t>
  </si>
  <si>
    <t>8cc702081a6439ec</t>
  </si>
  <si>
    <t>8cc70208</t>
  </si>
  <si>
    <t>1a6439ec</t>
  </si>
  <si>
    <t>90befffa23631e28</t>
  </si>
  <si>
    <t>90befffa</t>
  </si>
  <si>
    <t>23631e28</t>
  </si>
  <si>
    <t>a4506cebde82bde9</t>
  </si>
  <si>
    <t>a4506ceb</t>
  </si>
  <si>
    <t>de82bde9</t>
  </si>
  <si>
    <t>bef9a3f7b2c67915</t>
  </si>
  <si>
    <t>bef9a3f7</t>
  </si>
  <si>
    <t>b2c67915</t>
  </si>
  <si>
    <t>c67178f2e372532b</t>
  </si>
  <si>
    <t>c67178f2</t>
  </si>
  <si>
    <t>e372532b</t>
  </si>
  <si>
    <t>ca273eceea26619c</t>
  </si>
  <si>
    <t>ca273ece</t>
  </si>
  <si>
    <t>ea26619c</t>
  </si>
  <si>
    <t>d186b8c721c0c207</t>
  </si>
  <si>
    <t>d186b8c7</t>
  </si>
  <si>
    <t>21c0c207</t>
  </si>
  <si>
    <t>eada7dd6cde0eb1e</t>
  </si>
  <si>
    <t>eada7dd6</t>
  </si>
  <si>
    <t>cde0eb1e</t>
  </si>
  <si>
    <t>f57d4f7fee6ed178</t>
  </si>
  <si>
    <t>f57d4f7f</t>
  </si>
  <si>
    <t>ee6ed178</t>
  </si>
  <si>
    <t>06f067aa72176fba</t>
  </si>
  <si>
    <t>06f067aa</t>
  </si>
  <si>
    <t>72176fba</t>
  </si>
  <si>
    <t>0a637dc5a2c898a6</t>
  </si>
  <si>
    <t>0a637dc5</t>
  </si>
  <si>
    <t>a2c898a6</t>
  </si>
  <si>
    <t>113f9804bef90dae</t>
  </si>
  <si>
    <t>113f9804</t>
  </si>
  <si>
    <t>bef90dae</t>
  </si>
  <si>
    <t>1b710b35131c471b</t>
  </si>
  <si>
    <t>1b710b35</t>
  </si>
  <si>
    <t>131c471b</t>
  </si>
  <si>
    <t>28db77f523047d84</t>
  </si>
  <si>
    <t>28db77f5</t>
  </si>
  <si>
    <t>23047d84</t>
  </si>
  <si>
    <t>32caab7b40c72493</t>
  </si>
  <si>
    <t>32caab7b</t>
  </si>
  <si>
    <t>40c72493</t>
  </si>
  <si>
    <t>3c9ebe0a15c9bebc</t>
  </si>
  <si>
    <t>3c9ebe0a</t>
  </si>
  <si>
    <t>15c9bebc</t>
  </si>
  <si>
    <t>431d67c49c100d4c</t>
  </si>
  <si>
    <t>431d67c4</t>
  </si>
  <si>
    <t>9c100d4c</t>
  </si>
  <si>
    <t>4cc5d4becb3e42b6</t>
  </si>
  <si>
    <t>4cc5d4be</t>
  </si>
  <si>
    <t>cb3e42b6</t>
  </si>
  <si>
    <t>597f299cfc657e2a</t>
  </si>
  <si>
    <t>597f299c</t>
  </si>
  <si>
    <t>fc657e2a</t>
  </si>
  <si>
    <t>5fcb6fab3ad6faec</t>
  </si>
  <si>
    <t>5fcb6fab</t>
  </si>
  <si>
    <t>3ad6faec</t>
  </si>
  <si>
    <t>6c44198c4a475817</t>
  </si>
  <si>
    <t>6c44198c</t>
  </si>
  <si>
    <t>4a475817</t>
  </si>
  <si>
    <t>⚙️  SHA-512 Вычисление — 80 раундов (64-бит через hi/lo пары)</t>
  </si>
  <si>
    <t>SHA-512 ХЭШ:</t>
  </si>
  <si>
    <t>Состояние: 8 переменных × 2 ячейки (hi, lo). Колонки C=a_hi D=a_lo E=b_hi F=b_lo G=c_hi H=c_lo I=d_hi J=d_lo K=e_hi L=e_lo M=f_hi N=f_lo O=g_hi P=g_lo Q=h_hi R=h_lo. Вспомогательные колонки S+ — промежуточные XOR/ROTR/AND/ADD.</t>
  </si>
  <si>
    <t>Шаг</t>
  </si>
  <si>
    <t>a_hi</t>
  </si>
  <si>
    <t>a_lo</t>
  </si>
  <si>
    <t>b_hi</t>
  </si>
  <si>
    <t>b_lo</t>
  </si>
  <si>
    <t>c_hi</t>
  </si>
  <si>
    <t>c_lo</t>
  </si>
  <si>
    <t>d_hi</t>
  </si>
  <si>
    <t>d_lo</t>
  </si>
  <si>
    <t>e_hi</t>
  </si>
  <si>
    <t>e_lo</t>
  </si>
  <si>
    <t>f_hi</t>
  </si>
  <si>
    <t>f_lo</t>
  </si>
  <si>
    <t>g_hi</t>
  </si>
  <si>
    <t>g_lo</t>
  </si>
  <si>
    <t>h_hi</t>
  </si>
  <si>
    <t>h_lo</t>
  </si>
  <si>
    <t>W[i]_hi</t>
  </si>
  <si>
    <t>W[i]_lo</t>
  </si>
  <si>
    <t>INIT</t>
  </si>
  <si>
    <t>BM6</t>
  </si>
  <si>
    <t>BM7</t>
  </si>
  <si>
    <t>BM8</t>
  </si>
  <si>
    <t>BM9</t>
  </si>
  <si>
    <t>BM10</t>
  </si>
  <si>
    <t>BM11</t>
  </si>
  <si>
    <t>BM12</t>
  </si>
  <si>
    <t>BM13</t>
  </si>
  <si>
    <t>BM14</t>
  </si>
  <si>
    <t>BM15</t>
  </si>
  <si>
    <t>BM16</t>
  </si>
  <si>
    <t>BM17</t>
  </si>
  <si>
    <t>BM18</t>
  </si>
  <si>
    <t>BM19</t>
  </si>
  <si>
    <t>BM20</t>
  </si>
  <si>
    <t>BM21</t>
  </si>
  <si>
    <t>BM22</t>
  </si>
  <si>
    <t>BM23</t>
  </si>
  <si>
    <t>BM24</t>
  </si>
  <si>
    <t>BM25</t>
  </si>
  <si>
    <t>BM26</t>
  </si>
  <si>
    <t>BM27</t>
  </si>
  <si>
    <t>BM28</t>
  </si>
  <si>
    <t>BM29</t>
  </si>
  <si>
    <t>BM30</t>
  </si>
  <si>
    <t>BM31</t>
  </si>
  <si>
    <t>BM32</t>
  </si>
  <si>
    <t>BM33</t>
  </si>
  <si>
    <t>BM34</t>
  </si>
  <si>
    <t>BM35</t>
  </si>
  <si>
    <t>BM36</t>
  </si>
  <si>
    <t>BM37</t>
  </si>
  <si>
    <t>BM38</t>
  </si>
  <si>
    <t>BM39</t>
  </si>
  <si>
    <t>BM40</t>
  </si>
  <si>
    <t>BM41</t>
  </si>
  <si>
    <t>BM42</t>
  </si>
  <si>
    <t>BM43</t>
  </si>
  <si>
    <t>BM44</t>
  </si>
  <si>
    <t>BM45</t>
  </si>
  <si>
    <t>BM46</t>
  </si>
  <si>
    <t>BM47</t>
  </si>
  <si>
    <t>BM48</t>
  </si>
  <si>
    <t>BM49</t>
  </si>
  <si>
    <t>BM50</t>
  </si>
  <si>
    <t>BM51</t>
  </si>
  <si>
    <t>BM52</t>
  </si>
  <si>
    <t>BM53</t>
  </si>
  <si>
    <t>BM54</t>
  </si>
  <si>
    <t>BM55</t>
  </si>
  <si>
    <t>BM56</t>
  </si>
  <si>
    <t>BM57</t>
  </si>
  <si>
    <t>BM58</t>
  </si>
  <si>
    <t>BM59</t>
  </si>
  <si>
    <t>BM60</t>
  </si>
  <si>
    <t>BM61</t>
  </si>
  <si>
    <t>BM62</t>
  </si>
  <si>
    <t>BM63</t>
  </si>
  <si>
    <t>BM64</t>
  </si>
  <si>
    <t>BM65</t>
  </si>
  <si>
    <t>BM66</t>
  </si>
  <si>
    <t>BM67</t>
  </si>
  <si>
    <t>BM68</t>
  </si>
  <si>
    <t>BM69</t>
  </si>
  <si>
    <t>BM70</t>
  </si>
  <si>
    <t>BM71</t>
  </si>
  <si>
    <t>BM72</t>
  </si>
  <si>
    <t>BM73</t>
  </si>
  <si>
    <t>BM74</t>
  </si>
  <si>
    <t>BM75</t>
  </si>
  <si>
    <t>BM76</t>
  </si>
  <si>
    <t>BM77</t>
  </si>
  <si>
    <t>BM78</t>
  </si>
  <si>
    <t>BM79</t>
  </si>
  <si>
    <t>BM80</t>
  </si>
  <si>
    <t>BM81</t>
  </si>
  <si>
    <t>BM82</t>
  </si>
  <si>
    <t>BM83</t>
  </si>
  <si>
    <t>BM84</t>
  </si>
  <si>
    <t>BM85</t>
  </si>
  <si>
    <t>ИТОГ</t>
  </si>
  <si>
    <t>H0 hex</t>
  </si>
  <si>
    <t>H1 hex</t>
  </si>
  <si>
    <t>H2 hex</t>
  </si>
  <si>
    <t>H3 hex</t>
  </si>
  <si>
    <t>H4 hex</t>
  </si>
  <si>
    <t>H5 hex</t>
  </si>
  <si>
    <t>H6 hex</t>
  </si>
  <si>
    <t>H7 hex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</si>
</sst>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charset val="1"/>
    </font>
    <font>
      <b/>
      <sz val="15"/>
      <color rgb="FFFFFFFF"/>
      <name val="Calibri"/>
      <family val="2"/>
      <charset val="204"/>
    </font>
    <font>
      <i/>
      <sz val="9"/>
      <color rgb="FF666666"/>
      <name val="Calibri"/>
      <family val="2"/>
      <charset val="204"/>
    </font>
    <font>
      <b/>
      <sz val="11"/>
      <color rgb="FFFFFFFF"/>
      <name val="Calibri"/>
      <family val="2"/>
      <charset val="204"/>
    </font>
    <font>
      <b/>
      <sz val="22"/>
      <color rgb="FF1F3864"/>
      <name val="Calibri"/>
      <family val="2"/>
      <charset val="204"/>
    </font>
    <font>
      <b/>
      <sz val="11"/>
      <color rgb="FF1F3864"/>
      <name val="Courier New"/>
      <family val="3"/>
      <charset val="204"/>
    </font>
    <font>
      <b/>
      <sz val="10"/>
      <color rgb="FF1F3864"/>
      <name val="Calibri"/>
      <family val="2"/>
      <charset val="204"/>
    </font>
    <font>
      <i/>
      <sz val="8"/>
      <color rgb="FF375623"/>
      <name val="Calibri"/>
      <family val="2"/>
      <charset val="204"/>
    </font>
    <font>
      <i/>
      <sz val="9"/>
      <color rgb="FF856404"/>
      <name val="Calibri"/>
      <family val="2"/>
      <charset val="204"/>
    </font>
    <font>
      <b/>
      <sz val="14"/>
      <color rgb="FFFFFFFF"/>
      <name val="Calibri"/>
      <family val="2"/>
      <charset val="204"/>
    </font>
    <font>
      <b/>
      <sz val="10"/>
      <color rgb="FFFFFFFF"/>
      <name val="Calibri"/>
      <family val="2"/>
      <charset val="204"/>
    </font>
    <font>
      <sz val="9"/>
      <color rgb="FF1F3864"/>
      <name val="Calibri"/>
      <family val="2"/>
      <charset val="204"/>
    </font>
    <font>
      <b/>
      <sz val="13"/>
      <color rgb="FFFFFFFF"/>
      <name val="Calibri"/>
      <family val="2"/>
      <charset val="204"/>
    </font>
    <font>
      <i/>
      <sz val="9"/>
      <color rgb="FF1F3864"/>
      <name val="Calibri"/>
      <family val="2"/>
      <charset val="204"/>
    </font>
    <font>
      <b/>
      <sz val="9"/>
      <color rgb="FFFFFFFF"/>
      <name val="Calibri"/>
      <family val="2"/>
      <charset val="204"/>
    </font>
    <font>
      <sz val="8"/>
      <color rgb="FF000000"/>
      <name val="Courier New"/>
      <family val="3"/>
      <charset val="204"/>
    </font>
    <font>
      <b/>
      <sz val="10"/>
      <color rgb="FF1F3864"/>
      <name val="Courier New"/>
      <family val="3"/>
      <charset val="204"/>
    </font>
    <font>
      <i/>
      <sz val="8"/>
      <color rgb="FF1F3864"/>
      <name val="Calibri"/>
      <family val="2"/>
      <charset val="204"/>
    </font>
    <font>
      <b/>
      <sz val="8"/>
      <color rgb="FFFFFFFF"/>
      <name val="Calibri"/>
      <family val="2"/>
      <charset val="204"/>
    </font>
    <font>
      <b/>
      <sz val="7"/>
      <color rgb="FFFFFFFF"/>
      <name val="Calibri"/>
      <family val="2"/>
      <charset val="204"/>
    </font>
    <font>
      <sz val="7"/>
      <color rgb="FF000000"/>
      <name val="Courier New"/>
      <family val="3"/>
      <charset val="204"/>
    </font>
    <font>
      <sz val="9"/>
      <color rgb="FF000000"/>
      <name val="Courier New"/>
      <family val="3"/>
      <charset val="204"/>
    </font>
    <font>
      <sz val="8"/>
      <color rgb="FF1F3864"/>
      <name val="Calibri"/>
      <family val="2"/>
      <charset val="204"/>
    </font>
    <font>
      <sz val="9"/>
      <color rgb="FF1F3864"/>
      <name val="Courier New"/>
      <family val="3"/>
      <charset val="204"/>
    </font>
  </fonts>
  <fills count="44">
    <fill>
      <patternFill patternType="none"/>
    </fill>
    <fill>
      <patternFill patternType="gray125"/>
    </fill>
    <fill>
      <patternFill patternType="solid">
        <fgColor rgb="FF0D1B2A"/>
        <bgColor rgb="FF0D2137"/>
      </patternFill>
    </fill>
    <fill>
      <patternFill patternType="solid">
        <fgColor rgb="FFF2F2F2"/>
        <bgColor rgb="FFF5F5F5"/>
      </patternFill>
    </fill>
    <fill>
      <patternFill patternType="solid">
        <fgColor rgb="FF1B3A5C"/>
        <bgColor rgb="FF1E3A5F"/>
      </patternFill>
    </fill>
    <fill>
      <patternFill patternType="solid">
        <fgColor rgb="FFFFF3CD"/>
        <bgColor rgb="FFFEF3C7"/>
      </patternFill>
    </fill>
    <fill>
      <patternFill patternType="solid">
        <fgColor rgb="FF1F4E79"/>
        <bgColor rgb="FF1E3A5F"/>
      </patternFill>
    </fill>
    <fill>
      <patternFill patternType="solid">
        <fgColor rgb="FFE2EFDA"/>
        <bgColor rgb="FFDCFCE7"/>
      </patternFill>
    </fill>
    <fill>
      <patternFill patternType="solid">
        <fgColor rgb="FFD6E8F7"/>
        <bgColor rgb="FFDBEAFE"/>
      </patternFill>
    </fill>
    <fill>
      <patternFill patternType="solid">
        <fgColor rgb="FFF4F8FC"/>
        <bgColor rgb="FFF0F9FF"/>
      </patternFill>
    </fill>
    <fill>
      <patternFill patternType="solid">
        <fgColor rgb="FFF5F5F5"/>
        <bgColor rgb="FFF2F2F2"/>
      </patternFill>
    </fill>
    <fill>
      <patternFill patternType="solid">
        <fgColor rgb="FFFFFFFF"/>
        <bgColor rgb="FFFAFAFA"/>
      </patternFill>
    </fill>
    <fill>
      <patternFill patternType="solid">
        <fgColor rgb="FF1F3864"/>
        <bgColor rgb="FF1E3A5F"/>
      </patternFill>
    </fill>
    <fill>
      <patternFill patternType="solid">
        <fgColor rgb="FFFFF9C4"/>
        <bgColor rgb="FFFEF3C7"/>
      </patternFill>
    </fill>
    <fill>
      <patternFill patternType="solid">
        <fgColor rgb="FFEEF4FB"/>
        <bgColor rgb="FFEFF6FF"/>
      </patternFill>
    </fill>
    <fill>
      <patternFill patternType="solid">
        <fgColor rgb="FF1B4332"/>
        <bgColor rgb="FF2D4739"/>
      </patternFill>
    </fill>
    <fill>
      <patternFill patternType="solid">
        <fgColor rgb="FFDBEAFE"/>
        <bgColor rgb="FFE0E7FF"/>
      </patternFill>
    </fill>
    <fill>
      <patternFill patternType="solid">
        <fgColor rgb="FF4A1942"/>
        <bgColor rgb="FF3B1F2B"/>
      </patternFill>
    </fill>
    <fill>
      <patternFill patternType="solid">
        <fgColor rgb="FFDCFCE7"/>
        <bgColor rgb="FFD1FAE5"/>
      </patternFill>
    </fill>
    <fill>
      <patternFill patternType="solid">
        <fgColor rgb="FF3B1F2B"/>
        <bgColor rgb="FF4A1942"/>
      </patternFill>
    </fill>
    <fill>
      <patternFill patternType="solid">
        <fgColor rgb="FFFCE7F3"/>
        <bgColor rgb="FFFDE8E8"/>
      </patternFill>
    </fill>
    <fill>
      <patternFill patternType="solid">
        <fgColor rgb="FF0F3460"/>
        <bgColor rgb="FF1B3A5C"/>
      </patternFill>
    </fill>
    <fill>
      <patternFill patternType="solid">
        <fgColor rgb="FFFEF3C7"/>
        <bgColor rgb="FFFFF3CD"/>
      </patternFill>
    </fill>
    <fill>
      <patternFill patternType="solid">
        <fgColor rgb="FF2C2C54"/>
        <bgColor rgb="FF2D3748"/>
      </patternFill>
    </fill>
    <fill>
      <patternFill patternType="solid">
        <fgColor rgb="FFE0E7FF"/>
        <bgColor rgb="FFDBEAFE"/>
      </patternFill>
    </fill>
    <fill>
      <patternFill patternType="solid">
        <fgColor rgb="FF1A1A2E"/>
        <bgColor rgb="FF0D1B2A"/>
      </patternFill>
    </fill>
    <fill>
      <patternFill patternType="solid">
        <fgColor rgb="FFD1FAE5"/>
        <bgColor rgb="FFDCFCE7"/>
      </patternFill>
    </fill>
    <fill>
      <patternFill patternType="solid">
        <fgColor rgb="FF2D4739"/>
        <bgColor rgb="FF1B4332"/>
      </patternFill>
    </fill>
    <fill>
      <patternFill patternType="solid">
        <fgColor rgb="FFFDE8E8"/>
        <bgColor rgb="FFFCE7F3"/>
      </patternFill>
    </fill>
    <fill>
      <patternFill patternType="solid">
        <fgColor rgb="FF1E3A5F"/>
        <bgColor rgb="FF1B3A5C"/>
      </patternFill>
    </fill>
    <fill>
      <patternFill patternType="solid">
        <fgColor rgb="FFF0FDF4"/>
        <bgColor rgb="FFF0F9FF"/>
      </patternFill>
    </fill>
    <fill>
      <patternFill patternType="solid">
        <fgColor rgb="FF0D2137"/>
        <bgColor rgb="FF0D1B2A"/>
      </patternFill>
    </fill>
    <fill>
      <patternFill patternType="solid">
        <fgColor rgb="FFEFF6FF"/>
        <bgColor rgb="FFEEF4FB"/>
      </patternFill>
    </fill>
    <fill>
      <patternFill patternType="solid">
        <fgColor rgb="FF374151"/>
        <bgColor rgb="FF2D3748"/>
      </patternFill>
    </fill>
    <fill>
      <patternFill patternType="solid">
        <fgColor rgb="FFFDF4FF"/>
        <bgColor rgb="FFFAFAFA"/>
      </patternFill>
    </fill>
    <fill>
      <patternFill patternType="solid">
        <fgColor rgb="FFFFF7ED"/>
        <bgColor rgb="FFFFFBEB"/>
      </patternFill>
    </fill>
    <fill>
      <patternFill patternType="solid">
        <fgColor rgb="FF2D3748"/>
        <bgColor rgb="FF2C2C54"/>
      </patternFill>
    </fill>
    <fill>
      <patternFill patternType="solid">
        <fgColor rgb="FFF0F9FF"/>
        <bgColor rgb="FFEFF6FF"/>
      </patternFill>
    </fill>
    <fill>
      <patternFill patternType="solid">
        <fgColor rgb="FF1A2640"/>
        <bgColor rgb="FF0F2B3B"/>
      </patternFill>
    </fill>
    <fill>
      <patternFill patternType="solid">
        <fgColor rgb="FFFAFAFA"/>
        <bgColor rgb="FFF4F8FC"/>
      </patternFill>
    </fill>
    <fill>
      <patternFill patternType="solid">
        <fgColor rgb="FF0F2B3B"/>
        <bgColor rgb="FF1A2640"/>
      </patternFill>
    </fill>
    <fill>
      <patternFill patternType="solid">
        <fgColor rgb="FFF7FEE7"/>
        <bgColor rgb="FFFFFBEB"/>
      </patternFill>
    </fill>
    <fill>
      <patternFill patternType="solid">
        <fgColor rgb="FFFFFBEB"/>
        <bgColor rgb="FFFFF7ED"/>
      </patternFill>
    </fill>
    <fill>
      <patternFill patternType="solid">
        <fgColor rgb="FFEAF4FB"/>
        <bgColor rgb="FFEEF4FB"/>
      </patternFill>
    </fill>
  </fills>
  <borders count="5">
    <border>
      <left/>
      <right/>
      <top/>
      <bottom/>
      <diagonal/>
    </border>
    <border>
      <left style="medium">
        <color rgb="FFED7D31"/>
      </left>
      <right/>
      <top style="medium">
        <color rgb="FFED7D31"/>
      </top>
      <bottom style="medium">
        <color rgb="FFED7D31"/>
      </bottom>
      <diagonal/>
    </border>
    <border>
      <left style="medium">
        <color rgb="FF375623"/>
      </left>
      <right/>
      <top style="medium">
        <color rgb="FF375623"/>
      </top>
      <bottom style="medium">
        <color rgb="FF375623"/>
      </bottom>
      <diagonal/>
    </border>
    <border>
      <left style="thin">
        <color rgb="FFBDD7EE"/>
      </left>
      <right/>
      <top style="thin">
        <color rgb="FFBDD7EE"/>
      </top>
      <bottom style="thin">
        <color rgb="FFBDD7EE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3" fillId="9" borderId="0" xfId="0" applyFont="1" applyFill="1" applyBorder="1" applyAlignment="1">
      <alignment horizontal="left" vertical="center" wrapText="1"/>
    </xf>
    <xf numFmtId="0" fontId="12" fillId="2" borderId="0" xfId="0" applyFont="1" applyFill="1" applyBorder="1" applyAlignment="1">
      <alignment horizontal="center" vertical="center"/>
    </xf>
    <xf numFmtId="0" fontId="11" fillId="9" borderId="3" xfId="0" applyFont="1" applyFill="1" applyBorder="1" applyAlignment="1">
      <alignment horizontal="left" vertical="top" wrapText="1"/>
    </xf>
    <xf numFmtId="0" fontId="10" fillId="4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8" fillId="5" borderId="0" xfId="0" applyFont="1" applyFill="1" applyBorder="1" applyAlignment="1">
      <alignment horizontal="left" vertical="center" wrapText="1"/>
    </xf>
    <xf numFmtId="0" fontId="7" fillId="7" borderId="3" xfId="0" applyFont="1" applyFill="1" applyBorder="1" applyAlignment="1">
      <alignment horizontal="left" vertical="center" wrapText="1"/>
    </xf>
    <xf numFmtId="0" fontId="6" fillId="8" borderId="3" xfId="0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0" fillId="0" borderId="0" xfId="0" applyAlignment="1"/>
    <xf numFmtId="0" fontId="14" fillId="4" borderId="4" xfId="0" applyFont="1" applyFill="1" applyBorder="1" applyAlignment="1">
      <alignment horizontal="center" vertical="center"/>
    </xf>
    <xf numFmtId="0" fontId="14" fillId="10" borderId="4" xfId="0" applyFont="1" applyFill="1" applyBorder="1" applyAlignment="1">
      <alignment horizontal="center" vertical="center"/>
    </xf>
    <xf numFmtId="0" fontId="15" fillId="8" borderId="4" xfId="0" applyFont="1" applyFill="1" applyBorder="1" applyAlignment="1">
      <alignment horizontal="center" vertical="center"/>
    </xf>
    <xf numFmtId="0" fontId="15" fillId="11" borderId="4" xfId="0" applyFont="1" applyFill="1" applyBorder="1" applyAlignment="1">
      <alignment horizontal="center" vertical="center"/>
    </xf>
    <xf numFmtId="0" fontId="0" fillId="10" borderId="4" xfId="0" applyFill="1" applyBorder="1" applyAlignment="1"/>
    <xf numFmtId="0" fontId="18" fillId="4" borderId="4" xfId="0" applyFont="1" applyFill="1" applyBorder="1" applyAlignment="1">
      <alignment horizontal="center" vertical="center"/>
    </xf>
    <xf numFmtId="0" fontId="19" fillId="4" borderId="4" xfId="0" applyFont="1" applyFill="1" applyBorder="1" applyAlignment="1">
      <alignment horizontal="center" vertical="center"/>
    </xf>
    <xf numFmtId="0" fontId="18" fillId="12" borderId="4" xfId="0" applyFont="1" applyFill="1" applyBorder="1" applyAlignment="1">
      <alignment horizontal="center" vertical="center"/>
    </xf>
    <xf numFmtId="0" fontId="15" fillId="13" borderId="4" xfId="0" applyFont="1" applyFill="1" applyBorder="1" applyAlignment="1">
      <alignment horizontal="center" vertical="center"/>
    </xf>
    <xf numFmtId="0" fontId="20" fillId="14" borderId="4" xfId="0" applyFont="1" applyFill="1" applyBorder="1" applyAlignment="1">
      <alignment horizontal="center" vertical="center"/>
    </xf>
    <xf numFmtId="0" fontId="18" fillId="15" borderId="4" xfId="0" applyFont="1" applyFill="1" applyBorder="1" applyAlignment="1">
      <alignment horizontal="center" vertical="center"/>
    </xf>
    <xf numFmtId="0" fontId="15" fillId="16" borderId="4" xfId="0" applyFont="1" applyFill="1" applyBorder="1" applyAlignment="1">
      <alignment horizontal="center" vertical="center"/>
    </xf>
    <xf numFmtId="0" fontId="18" fillId="17" borderId="4" xfId="0" applyFont="1" applyFill="1" applyBorder="1" applyAlignment="1">
      <alignment horizontal="center" vertical="center"/>
    </xf>
    <xf numFmtId="0" fontId="15" fillId="18" borderId="4" xfId="0" applyFont="1" applyFill="1" applyBorder="1" applyAlignment="1">
      <alignment horizontal="center" vertical="center"/>
    </xf>
    <xf numFmtId="0" fontId="18" fillId="19" borderId="4" xfId="0" applyFont="1" applyFill="1" applyBorder="1" applyAlignment="1">
      <alignment horizontal="center" vertical="center"/>
    </xf>
    <xf numFmtId="0" fontId="15" fillId="20" borderId="4" xfId="0" applyFont="1" applyFill="1" applyBorder="1" applyAlignment="1">
      <alignment horizontal="center" vertical="center"/>
    </xf>
    <xf numFmtId="0" fontId="18" fillId="21" borderId="4" xfId="0" applyFont="1" applyFill="1" applyBorder="1" applyAlignment="1">
      <alignment horizontal="center" vertical="center"/>
    </xf>
    <xf numFmtId="0" fontId="15" fillId="22" borderId="4" xfId="0" applyFont="1" applyFill="1" applyBorder="1" applyAlignment="1">
      <alignment horizontal="center" vertical="center"/>
    </xf>
    <xf numFmtId="0" fontId="18" fillId="23" borderId="4" xfId="0" applyFont="1" applyFill="1" applyBorder="1" applyAlignment="1">
      <alignment horizontal="center" vertical="center"/>
    </xf>
    <xf numFmtId="0" fontId="15" fillId="24" borderId="4" xfId="0" applyFont="1" applyFill="1" applyBorder="1" applyAlignment="1">
      <alignment horizontal="center" vertical="center"/>
    </xf>
    <xf numFmtId="0" fontId="18" fillId="25" borderId="4" xfId="0" applyFont="1" applyFill="1" applyBorder="1" applyAlignment="1">
      <alignment horizontal="center" vertical="center"/>
    </xf>
    <xf numFmtId="0" fontId="15" fillId="26" borderId="4" xfId="0" applyFont="1" applyFill="1" applyBorder="1" applyAlignment="1">
      <alignment horizontal="center" vertical="center"/>
    </xf>
    <xf numFmtId="0" fontId="18" fillId="27" borderId="4" xfId="0" applyFont="1" applyFill="1" applyBorder="1" applyAlignment="1">
      <alignment horizontal="center" vertical="center"/>
    </xf>
    <xf numFmtId="0" fontId="15" fillId="28" borderId="4" xfId="0" applyFont="1" applyFill="1" applyBorder="1" applyAlignment="1">
      <alignment horizontal="center" vertical="center"/>
    </xf>
    <xf numFmtId="0" fontId="18" fillId="29" borderId="4" xfId="0" applyFont="1" applyFill="1" applyBorder="1" applyAlignment="1">
      <alignment horizontal="center" vertical="center"/>
    </xf>
    <xf numFmtId="0" fontId="15" fillId="30" borderId="4" xfId="0" applyFont="1" applyFill="1" applyBorder="1" applyAlignment="1">
      <alignment horizontal="center" vertical="center"/>
    </xf>
    <xf numFmtId="0" fontId="18" fillId="31" borderId="4" xfId="0" applyFont="1" applyFill="1" applyBorder="1" applyAlignment="1">
      <alignment horizontal="center" vertical="center"/>
    </xf>
    <xf numFmtId="0" fontId="15" fillId="32" borderId="4" xfId="0" applyFont="1" applyFill="1" applyBorder="1" applyAlignment="1">
      <alignment horizontal="center" vertical="center"/>
    </xf>
    <xf numFmtId="0" fontId="18" fillId="33" borderId="4" xfId="0" applyFont="1" applyFill="1" applyBorder="1" applyAlignment="1">
      <alignment horizontal="center" vertical="center"/>
    </xf>
    <xf numFmtId="0" fontId="15" fillId="34" borderId="4" xfId="0" applyFont="1" applyFill="1" applyBorder="1" applyAlignment="1">
      <alignment horizontal="center" vertical="center"/>
    </xf>
    <xf numFmtId="0" fontId="15" fillId="35" borderId="4" xfId="0" applyFont="1" applyFill="1" applyBorder="1" applyAlignment="1">
      <alignment horizontal="center" vertical="center"/>
    </xf>
    <xf numFmtId="0" fontId="18" fillId="36" borderId="4" xfId="0" applyFont="1" applyFill="1" applyBorder="1" applyAlignment="1">
      <alignment horizontal="center" vertical="center"/>
    </xf>
    <xf numFmtId="0" fontId="15" fillId="37" borderId="4" xfId="0" applyFont="1" applyFill="1" applyBorder="1" applyAlignment="1">
      <alignment horizontal="center" vertical="center"/>
    </xf>
    <xf numFmtId="0" fontId="18" fillId="38" borderId="4" xfId="0" applyFont="1" applyFill="1" applyBorder="1" applyAlignment="1">
      <alignment horizontal="center" vertical="center"/>
    </xf>
    <xf numFmtId="0" fontId="15" fillId="39" borderId="4" xfId="0" applyFont="1" applyFill="1" applyBorder="1" applyAlignment="1">
      <alignment horizontal="center" vertical="center"/>
    </xf>
    <xf numFmtId="0" fontId="18" fillId="40" borderId="4" xfId="0" applyFont="1" applyFill="1" applyBorder="1" applyAlignment="1">
      <alignment horizontal="center" vertical="center"/>
    </xf>
    <xf numFmtId="0" fontId="15" fillId="41" borderId="4" xfId="0" applyFont="1" applyFill="1" applyBorder="1" applyAlignment="1">
      <alignment horizontal="center" vertical="center"/>
    </xf>
    <xf numFmtId="0" fontId="18" fillId="6" borderId="4" xfId="0" applyFont="1" applyFill="1" applyBorder="1" applyAlignment="1">
      <alignment horizontal="center" vertical="center"/>
    </xf>
    <xf numFmtId="0" fontId="15" fillId="42" borderId="4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22" fillId="7" borderId="0" xfId="0" applyFont="1" applyFill="1" applyAlignment="1">
      <alignment horizontal="center" vertical="center"/>
    </xf>
    <xf numFmtId="0" fontId="23" fillId="7" borderId="4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center" vertical="center"/>
    </xf>
    <xf numFmtId="0" fontId="15" fillId="7" borderId="4" xfId="0" applyFont="1" applyFill="1" applyBorder="1" applyAlignment="1">
      <alignment horizontal="center" vertical="center"/>
    </xf>
    <xf numFmtId="0" fontId="20" fillId="43" borderId="4" xfId="0" applyFont="1" applyFill="1" applyBorder="1" applyAlignment="1">
      <alignment horizontal="center" vertical="center"/>
    </xf>
    <xf numFmtId="0" fontId="10" fillId="6" borderId="0" xfId="0" applyFont="1" applyFill="1" applyBorder="1" applyAlignment="1">
      <alignment horizontal="center" vertical="center"/>
    </xf>
    <xf numFmtId="0" fontId="16" fillId="7" borderId="2" xfId="0" applyFont="1" applyFill="1" applyBorder="1" applyAlignment="1">
      <alignment horizontal="center" vertical="center"/>
    </xf>
    <xf numFmtId="0" fontId="17" fillId="9" borderId="0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3CD"/>
      <rgbColor rgb="FFFF00FF"/>
      <rgbColor rgb="FFF0FDF4"/>
      <rgbColor rgb="FF1A1A2E"/>
      <rgbColor rgb="FF375623"/>
      <rgbColor rgb="FF0D2137"/>
      <rgbColor rgb="FF856404"/>
      <rgbColor rgb="FF2C2C54"/>
      <rgbColor rgb="FF2D4739"/>
      <rgbColor rgb="FFD6E8F7"/>
      <rgbColor rgb="FFF0F9FF"/>
      <rgbColor rgb="FFEAF4FB"/>
      <rgbColor rgb="FF374151"/>
      <rgbColor rgb="FFFFF9C4"/>
      <rgbColor rgb="FFDCFCE7"/>
      <rgbColor rgb="FF4A1942"/>
      <rgbColor rgb="FFF5F5F5"/>
      <rgbColor rgb="FF1F4E79"/>
      <rgbColor rgb="FFBDD7EE"/>
      <rgbColor rgb="FF0D1B2A"/>
      <rgbColor rgb="FFFF00FF"/>
      <rgbColor rgb="FFF7FEE7"/>
      <rgbColor rgb="FFF4F8FC"/>
      <rgbColor rgb="FF1A2640"/>
      <rgbColor rgb="FF800000"/>
      <rgbColor rgb="FF1B4332"/>
      <rgbColor rgb="FF0000FF"/>
      <rgbColor rgb="FFFAFAFA"/>
      <rgbColor rgb="FFDBEAFE"/>
      <rgbColor rgb="FFD1FAE5"/>
      <rgbColor rgb="FFFEF3C7"/>
      <rgbColor rgb="FFE0E7FF"/>
      <rgbColor rgb="FFFCE7F3"/>
      <rgbColor rgb="FFE2EFDA"/>
      <rgbColor rgb="FFFDE8E8"/>
      <rgbColor rgb="FF1E3A5F"/>
      <rgbColor rgb="FFEFF6FF"/>
      <rgbColor rgb="FFEEF4FB"/>
      <rgbColor rgb="FFFFF7ED"/>
      <rgbColor rgb="FFFFFBEB"/>
      <rgbColor rgb="FFED7D31"/>
      <rgbColor rgb="FF666666"/>
      <rgbColor rgb="FFF2F2F2"/>
      <rgbColor rgb="FF0F3460"/>
      <rgbColor rgb="FFFDF4FF"/>
      <rgbColor rgb="FF0F2B3B"/>
      <rgbColor rgb="FF3B1F2B"/>
      <rgbColor rgb="FF993300"/>
      <rgbColor rgb="FF1B3A5C"/>
      <rgbColor rgb="FF1F3864"/>
      <rgbColor rgb="FF2D374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zoomScaleNormal="100" workbookViewId="0">
      <selection activeCell="C25" sqref="C25"/>
    </sheetView>
  </sheetViews>
  <sheetFormatPr defaultColWidth="8.7109375" defaultRowHeight="15" x14ac:dyDescent="0.25"/>
  <cols>
    <col min="1" max="1" width="3" style="14" customWidth="1"/>
    <col min="2" max="2" width="28" style="14" customWidth="1"/>
    <col min="3" max="3" width="68" style="14" customWidth="1"/>
  </cols>
  <sheetData>
    <row r="1" spans="2:3" ht="37.5" customHeight="1" x14ac:dyDescent="0.25">
      <c r="B1" s="13" t="s">
        <v>0</v>
      </c>
      <c r="C1" s="13"/>
    </row>
    <row r="2" spans="2:3" ht="15" customHeight="1" x14ac:dyDescent="0.25">
      <c r="B2" s="12" t="s">
        <v>1</v>
      </c>
      <c r="C2" s="12"/>
    </row>
    <row r="4" spans="2:3" ht="24" customHeight="1" x14ac:dyDescent="0.25">
      <c r="B4" s="11" t="s">
        <v>2</v>
      </c>
      <c r="C4" s="11"/>
    </row>
    <row r="5" spans="2:3" ht="39.75" customHeight="1" x14ac:dyDescent="0.25">
      <c r="B5" s="10" t="s">
        <v>3</v>
      </c>
      <c r="C5" s="10"/>
    </row>
    <row r="7" spans="2:3" ht="21.75" customHeight="1" x14ac:dyDescent="0.25">
      <c r="B7" s="9" t="s">
        <v>4</v>
      </c>
      <c r="C7" s="9"/>
    </row>
    <row r="8" spans="2:3" ht="30" customHeight="1" x14ac:dyDescent="0.25">
      <c r="B8" s="63" t="str">
        <f>'⚙️ Вычисление'!D2</f>
        <v>9b71d224bd62f3785d96d46ad3ea3d73319bfbc2890caadae2dff72519673ca72323c3d99ba5c11d7c7acc6e14b8c5da0c4663475c2e5c3adef46f73bcdec043</v>
      </c>
      <c r="C8" s="63"/>
    </row>
    <row r="10" spans="2:3" ht="15" customHeight="1" x14ac:dyDescent="0.25">
      <c r="B10" s="8" t="s">
        <v>5</v>
      </c>
      <c r="C10" s="8"/>
    </row>
    <row r="12" spans="2:3" ht="21.75" customHeight="1" x14ac:dyDescent="0.25">
      <c r="B12" s="7" t="s">
        <v>6</v>
      </c>
      <c r="C12" s="7"/>
    </row>
    <row r="13" spans="2:3" ht="15" customHeight="1" x14ac:dyDescent="0.25">
      <c r="B13" s="6" t="s">
        <v>7</v>
      </c>
      <c r="C13" s="6"/>
    </row>
  </sheetData>
  <mergeCells count="9">
    <mergeCell ref="B8:C8"/>
    <mergeCell ref="B10:C10"/>
    <mergeCell ref="B12:C12"/>
    <mergeCell ref="B13:C13"/>
    <mergeCell ref="B1:C1"/>
    <mergeCell ref="B2:C2"/>
    <mergeCell ref="B4:C4"/>
    <mergeCell ref="B5:C5"/>
    <mergeCell ref="B7:C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zoomScaleNormal="100" workbookViewId="0"/>
  </sheetViews>
  <sheetFormatPr defaultColWidth="8.7109375" defaultRowHeight="15" x14ac:dyDescent="0.25"/>
  <cols>
    <col min="1" max="1" width="3" style="14" customWidth="1"/>
    <col min="2" max="2" width="32" style="14" customWidth="1"/>
    <col min="3" max="3" width="72" style="14" customWidth="1"/>
  </cols>
  <sheetData>
    <row r="1" spans="2:3" ht="30" customHeight="1" x14ac:dyDescent="0.25">
      <c r="B1" s="5" t="s">
        <v>8</v>
      </c>
      <c r="C1" s="5"/>
    </row>
    <row r="2" spans="2:3" ht="15" customHeight="1" x14ac:dyDescent="0.25">
      <c r="B2" s="4" t="s">
        <v>9</v>
      </c>
      <c r="C2" s="4"/>
    </row>
    <row r="3" spans="2:3" ht="60.75" customHeight="1" x14ac:dyDescent="0.25">
      <c r="B3" s="3" t="s">
        <v>10</v>
      </c>
      <c r="C3" s="3"/>
    </row>
    <row r="4" spans="2:3" ht="15" customHeight="1" x14ac:dyDescent="0.25">
      <c r="B4" s="4" t="s">
        <v>11</v>
      </c>
      <c r="C4" s="4"/>
    </row>
    <row r="5" spans="2:3" ht="94.5" customHeight="1" x14ac:dyDescent="0.25">
      <c r="B5" s="3" t="s">
        <v>12</v>
      </c>
      <c r="C5" s="3"/>
    </row>
    <row r="6" spans="2:3" ht="15" customHeight="1" x14ac:dyDescent="0.25">
      <c r="B6" s="4" t="s">
        <v>13</v>
      </c>
      <c r="C6" s="4"/>
    </row>
    <row r="7" spans="2:3" ht="162.75" customHeight="1" x14ac:dyDescent="0.25">
      <c r="B7" s="3" t="s">
        <v>14</v>
      </c>
      <c r="C7" s="3"/>
    </row>
    <row r="8" spans="2:3" ht="15" customHeight="1" x14ac:dyDescent="0.25">
      <c r="B8" s="4" t="s">
        <v>15</v>
      </c>
      <c r="C8" s="4"/>
    </row>
    <row r="9" spans="2:3" ht="60.75" customHeight="1" x14ac:dyDescent="0.25">
      <c r="B9" s="3" t="s">
        <v>16</v>
      </c>
      <c r="C9" s="3"/>
    </row>
    <row r="10" spans="2:3" ht="15" customHeight="1" x14ac:dyDescent="0.25">
      <c r="B10" s="4" t="s">
        <v>17</v>
      </c>
      <c r="C10" s="4"/>
    </row>
    <row r="11" spans="2:3" ht="94.5" customHeight="1" x14ac:dyDescent="0.25">
      <c r="B11" s="3" t="s">
        <v>18</v>
      </c>
      <c r="C11" s="3"/>
    </row>
    <row r="12" spans="2:3" ht="15" customHeight="1" x14ac:dyDescent="0.25">
      <c r="B12" s="4" t="s">
        <v>19</v>
      </c>
      <c r="C12" s="4"/>
    </row>
    <row r="13" spans="2:3" ht="111.75" customHeight="1" x14ac:dyDescent="0.25">
      <c r="B13" s="3" t="s">
        <v>20</v>
      </c>
      <c r="C13" s="3"/>
    </row>
    <row r="14" spans="2:3" ht="15" customHeight="1" x14ac:dyDescent="0.25">
      <c r="B14" s="4" t="s">
        <v>21</v>
      </c>
      <c r="C14" s="4"/>
    </row>
    <row r="15" spans="2:3" ht="162.75" customHeight="1" x14ac:dyDescent="0.25">
      <c r="B15" s="3" t="s">
        <v>22</v>
      </c>
      <c r="C15" s="3"/>
    </row>
    <row r="16" spans="2:3" ht="15" customHeight="1" x14ac:dyDescent="0.25">
      <c r="B16" s="4" t="s">
        <v>23</v>
      </c>
      <c r="C16" s="4"/>
    </row>
    <row r="17" spans="2:3" ht="43.5" customHeight="1" x14ac:dyDescent="0.25">
      <c r="B17" s="3" t="s">
        <v>24</v>
      </c>
      <c r="C17" s="3"/>
    </row>
    <row r="18" spans="2:3" ht="15" customHeight="1" x14ac:dyDescent="0.25">
      <c r="B18" s="4" t="s">
        <v>25</v>
      </c>
      <c r="C18" s="4"/>
    </row>
    <row r="19" spans="2:3" ht="129" customHeight="1" x14ac:dyDescent="0.25">
      <c r="B19" s="3" t="s">
        <v>26</v>
      </c>
      <c r="C19" s="3"/>
    </row>
  </sheetData>
  <mergeCells count="19">
    <mergeCell ref="B16:C16"/>
    <mergeCell ref="B17:C17"/>
    <mergeCell ref="B18:C18"/>
    <mergeCell ref="B19:C19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C1"/>
    <mergeCell ref="B2:C2"/>
    <mergeCell ref="B3:C3"/>
    <mergeCell ref="B4:C4"/>
    <mergeCell ref="B5:C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3"/>
  <sheetViews>
    <sheetView zoomScaleNormal="100" workbookViewId="0"/>
  </sheetViews>
  <sheetFormatPr defaultColWidth="8.7109375" defaultRowHeight="15" x14ac:dyDescent="0.25"/>
  <cols>
    <col min="1" max="1" width="3" style="14" customWidth="1"/>
    <col min="2" max="2" width="6" style="14" customWidth="1"/>
    <col min="3" max="3" width="20" style="14" customWidth="1"/>
    <col min="4" max="4" width="12" style="14" customWidth="1"/>
    <col min="5" max="5" width="10" style="14" customWidth="1"/>
    <col min="6" max="6" width="20" style="14" customWidth="1"/>
    <col min="7" max="7" width="12" style="14" customWidth="1"/>
    <col min="8" max="8" width="10" style="14" customWidth="1"/>
    <col min="9" max="9" width="3" style="14" customWidth="1"/>
    <col min="10" max="10" width="20" style="14" customWidth="1"/>
  </cols>
  <sheetData>
    <row r="1" spans="2:10" ht="27.75" customHeight="1" x14ac:dyDescent="0.25">
      <c r="B1" s="2" t="s">
        <v>27</v>
      </c>
      <c r="C1" s="2"/>
      <c r="D1" s="2"/>
      <c r="E1" s="2"/>
      <c r="F1" s="2"/>
      <c r="G1" s="2"/>
      <c r="H1" s="2"/>
      <c r="I1" s="2"/>
      <c r="J1" s="2"/>
    </row>
    <row r="2" spans="2:10" ht="21.75" customHeight="1" x14ac:dyDescent="0.25">
      <c r="B2" s="1" t="s">
        <v>28</v>
      </c>
      <c r="C2" s="1"/>
      <c r="D2" s="1"/>
      <c r="E2" s="1"/>
      <c r="F2" s="1"/>
      <c r="G2" s="1"/>
      <c r="H2" s="1"/>
      <c r="I2" s="1"/>
      <c r="J2" s="1"/>
    </row>
    <row r="3" spans="2:10" ht="15" customHeight="1" x14ac:dyDescent="0.25">
      <c r="B3" s="15" t="s">
        <v>29</v>
      </c>
      <c r="C3" s="15" t="s">
        <v>30</v>
      </c>
      <c r="D3" s="15" t="s">
        <v>31</v>
      </c>
      <c r="E3" s="15" t="s">
        <v>32</v>
      </c>
      <c r="F3" s="16"/>
      <c r="G3" s="15" t="s">
        <v>33</v>
      </c>
      <c r="H3" s="15" t="s">
        <v>34</v>
      </c>
    </row>
    <row r="4" spans="2:10" ht="12.75" customHeight="1" x14ac:dyDescent="0.25">
      <c r="B4" s="17">
        <v>0</v>
      </c>
      <c r="C4" s="18">
        <v>1116352408</v>
      </c>
      <c r="D4" s="18">
        <v>3609767458</v>
      </c>
      <c r="E4" s="18" t="s">
        <v>35</v>
      </c>
      <c r="F4" s="19"/>
      <c r="G4" s="18" t="s">
        <v>36</v>
      </c>
      <c r="H4" s="18" t="s">
        <v>37</v>
      </c>
    </row>
    <row r="5" spans="2:10" ht="12.75" customHeight="1" x14ac:dyDescent="0.25">
      <c r="B5" s="17">
        <v>1</v>
      </c>
      <c r="C5" s="18">
        <v>1899447441</v>
      </c>
      <c r="D5" s="18">
        <v>602891725</v>
      </c>
      <c r="E5" s="18" t="s">
        <v>38</v>
      </c>
      <c r="F5" s="19"/>
      <c r="G5" s="18" t="s">
        <v>39</v>
      </c>
      <c r="H5" s="18" t="s">
        <v>40</v>
      </c>
    </row>
    <row r="6" spans="2:10" ht="12.75" customHeight="1" x14ac:dyDescent="0.25">
      <c r="B6" s="17">
        <v>2</v>
      </c>
      <c r="C6" s="18">
        <v>3049323471</v>
      </c>
      <c r="D6" s="18">
        <v>3964484399</v>
      </c>
      <c r="E6" s="18" t="s">
        <v>41</v>
      </c>
      <c r="F6" s="19"/>
      <c r="G6" s="18" t="s">
        <v>42</v>
      </c>
      <c r="H6" s="18" t="s">
        <v>43</v>
      </c>
    </row>
    <row r="7" spans="2:10" ht="12.75" customHeight="1" x14ac:dyDescent="0.25">
      <c r="B7" s="17">
        <v>3</v>
      </c>
      <c r="C7" s="18">
        <v>3921009573</v>
      </c>
      <c r="D7" s="18">
        <v>2173295548</v>
      </c>
      <c r="E7" s="18" t="s">
        <v>44</v>
      </c>
      <c r="F7" s="19"/>
      <c r="G7" s="18" t="s">
        <v>45</v>
      </c>
      <c r="H7" s="18" t="s">
        <v>46</v>
      </c>
    </row>
    <row r="8" spans="2:10" ht="12.75" customHeight="1" x14ac:dyDescent="0.25">
      <c r="B8" s="17">
        <v>4</v>
      </c>
      <c r="C8" s="18">
        <v>961987163</v>
      </c>
      <c r="D8" s="18">
        <v>4081628472</v>
      </c>
      <c r="E8" s="18" t="s">
        <v>47</v>
      </c>
      <c r="F8" s="19"/>
      <c r="G8" s="18" t="s">
        <v>48</v>
      </c>
      <c r="H8" s="18" t="s">
        <v>49</v>
      </c>
    </row>
    <row r="9" spans="2:10" ht="12.75" customHeight="1" x14ac:dyDescent="0.25">
      <c r="B9" s="17">
        <v>5</v>
      </c>
      <c r="C9" s="18">
        <v>1508970993</v>
      </c>
      <c r="D9" s="18">
        <v>3053834265</v>
      </c>
      <c r="E9" s="18" t="s">
        <v>50</v>
      </c>
      <c r="F9" s="19"/>
      <c r="G9" s="18" t="s">
        <v>51</v>
      </c>
      <c r="H9" s="18" t="s">
        <v>52</v>
      </c>
    </row>
    <row r="10" spans="2:10" ht="12.75" customHeight="1" x14ac:dyDescent="0.25">
      <c r="B10" s="17">
        <v>6</v>
      </c>
      <c r="C10" s="18">
        <v>2453635748</v>
      </c>
      <c r="D10" s="18">
        <v>2937671579</v>
      </c>
      <c r="E10" s="18" t="s">
        <v>53</v>
      </c>
      <c r="F10" s="19"/>
      <c r="G10" s="18" t="s">
        <v>54</v>
      </c>
      <c r="H10" s="18" t="s">
        <v>55</v>
      </c>
    </row>
    <row r="11" spans="2:10" ht="12.75" customHeight="1" x14ac:dyDescent="0.25">
      <c r="B11" s="17">
        <v>7</v>
      </c>
      <c r="C11" s="18">
        <v>2870763221</v>
      </c>
      <c r="D11" s="18">
        <v>3664609560</v>
      </c>
      <c r="E11" s="18" t="s">
        <v>56</v>
      </c>
      <c r="F11" s="19"/>
      <c r="G11" s="18" t="s">
        <v>57</v>
      </c>
      <c r="H11" s="18" t="s">
        <v>58</v>
      </c>
    </row>
    <row r="12" spans="2:10" ht="12.75" customHeight="1" x14ac:dyDescent="0.25">
      <c r="B12" s="17">
        <v>8</v>
      </c>
      <c r="C12" s="18">
        <v>3624381080</v>
      </c>
      <c r="D12" s="18">
        <v>2734883394</v>
      </c>
      <c r="E12" s="18" t="s">
        <v>59</v>
      </c>
      <c r="F12" s="19"/>
      <c r="G12" s="18" t="s">
        <v>60</v>
      </c>
      <c r="H12" s="18" t="s">
        <v>61</v>
      </c>
    </row>
    <row r="13" spans="2:10" ht="12.75" customHeight="1" x14ac:dyDescent="0.25">
      <c r="B13" s="17">
        <v>9</v>
      </c>
      <c r="C13" s="18">
        <v>310598401</v>
      </c>
      <c r="D13" s="18">
        <v>1164996542</v>
      </c>
      <c r="E13" s="18" t="s">
        <v>62</v>
      </c>
      <c r="F13" s="19"/>
      <c r="G13" s="18" t="s">
        <v>63</v>
      </c>
      <c r="H13" s="18" t="s">
        <v>64</v>
      </c>
    </row>
    <row r="14" spans="2:10" ht="12.75" customHeight="1" x14ac:dyDescent="0.25">
      <c r="B14" s="17">
        <v>10</v>
      </c>
      <c r="C14" s="18">
        <v>607225278</v>
      </c>
      <c r="D14" s="18">
        <v>1323610764</v>
      </c>
      <c r="E14" s="18" t="s">
        <v>65</v>
      </c>
      <c r="F14" s="19"/>
      <c r="G14" s="18" t="s">
        <v>66</v>
      </c>
      <c r="H14" s="18" t="s">
        <v>67</v>
      </c>
    </row>
    <row r="15" spans="2:10" ht="12.75" customHeight="1" x14ac:dyDescent="0.25">
      <c r="B15" s="17">
        <v>11</v>
      </c>
      <c r="C15" s="18">
        <v>1426881987</v>
      </c>
      <c r="D15" s="18">
        <v>3590304994</v>
      </c>
      <c r="E15" s="18" t="s">
        <v>68</v>
      </c>
      <c r="F15" s="19"/>
      <c r="G15" s="18" t="s">
        <v>69</v>
      </c>
      <c r="H15" s="18" t="s">
        <v>70</v>
      </c>
    </row>
    <row r="16" spans="2:10" ht="12.75" customHeight="1" x14ac:dyDescent="0.25">
      <c r="B16" s="17">
        <v>12</v>
      </c>
      <c r="C16" s="18">
        <v>1925078388</v>
      </c>
      <c r="D16" s="18">
        <v>4068182383</v>
      </c>
      <c r="E16" s="18" t="s">
        <v>71</v>
      </c>
      <c r="F16" s="19"/>
      <c r="G16" s="18" t="s">
        <v>72</v>
      </c>
      <c r="H16" s="18" t="s">
        <v>73</v>
      </c>
    </row>
    <row r="17" spans="2:8" ht="12.75" customHeight="1" x14ac:dyDescent="0.25">
      <c r="B17" s="17">
        <v>13</v>
      </c>
      <c r="C17" s="18">
        <v>2162078206</v>
      </c>
      <c r="D17" s="18">
        <v>991336113</v>
      </c>
      <c r="E17" s="18" t="s">
        <v>74</v>
      </c>
      <c r="F17" s="19"/>
      <c r="G17" s="18" t="s">
        <v>75</v>
      </c>
      <c r="H17" s="18" t="s">
        <v>76</v>
      </c>
    </row>
    <row r="18" spans="2:8" ht="12.75" customHeight="1" x14ac:dyDescent="0.25">
      <c r="B18" s="17">
        <v>14</v>
      </c>
      <c r="C18" s="18">
        <v>2614888103</v>
      </c>
      <c r="D18" s="18">
        <v>633803317</v>
      </c>
      <c r="E18" s="18" t="s">
        <v>77</v>
      </c>
      <c r="F18" s="19"/>
      <c r="G18" s="18" t="s">
        <v>78</v>
      </c>
      <c r="H18" s="18" t="s">
        <v>79</v>
      </c>
    </row>
    <row r="19" spans="2:8" ht="12.75" customHeight="1" x14ac:dyDescent="0.25">
      <c r="B19" s="17">
        <v>15</v>
      </c>
      <c r="C19" s="18">
        <v>3248222580</v>
      </c>
      <c r="D19" s="18">
        <v>3479774868</v>
      </c>
      <c r="E19" s="18" t="s">
        <v>80</v>
      </c>
      <c r="F19" s="19"/>
      <c r="G19" s="18" t="s">
        <v>81</v>
      </c>
      <c r="H19" s="18" t="s">
        <v>82</v>
      </c>
    </row>
    <row r="20" spans="2:8" ht="12.75" customHeight="1" x14ac:dyDescent="0.25">
      <c r="B20" s="17">
        <v>16</v>
      </c>
      <c r="C20" s="18">
        <v>3835390401</v>
      </c>
      <c r="D20" s="18">
        <v>2666613458</v>
      </c>
      <c r="E20" s="18" t="s">
        <v>83</v>
      </c>
      <c r="F20" s="19"/>
      <c r="G20" s="18" t="s">
        <v>84</v>
      </c>
      <c r="H20" s="18" t="s">
        <v>85</v>
      </c>
    </row>
    <row r="21" spans="2:8" ht="12.75" customHeight="1" x14ac:dyDescent="0.25">
      <c r="B21" s="17">
        <v>17</v>
      </c>
      <c r="C21" s="18">
        <v>4022224774</v>
      </c>
      <c r="D21" s="18">
        <v>944711139</v>
      </c>
      <c r="E21" s="18" t="s">
        <v>86</v>
      </c>
      <c r="F21" s="19"/>
      <c r="G21" s="18" t="s">
        <v>87</v>
      </c>
      <c r="H21" s="18" t="s">
        <v>88</v>
      </c>
    </row>
    <row r="22" spans="2:8" ht="12.75" customHeight="1" x14ac:dyDescent="0.25">
      <c r="B22" s="17">
        <v>18</v>
      </c>
      <c r="C22" s="18">
        <v>264347078</v>
      </c>
      <c r="D22" s="18">
        <v>2341262773</v>
      </c>
      <c r="E22" s="18" t="s">
        <v>89</v>
      </c>
      <c r="F22" s="19"/>
      <c r="G22" s="18" t="s">
        <v>90</v>
      </c>
      <c r="H22" s="18" t="s">
        <v>91</v>
      </c>
    </row>
    <row r="23" spans="2:8" ht="12.75" customHeight="1" x14ac:dyDescent="0.25">
      <c r="B23" s="17">
        <v>19</v>
      </c>
      <c r="C23" s="18">
        <v>604807628</v>
      </c>
      <c r="D23" s="18">
        <v>2007800933</v>
      </c>
      <c r="E23" s="18" t="s">
        <v>92</v>
      </c>
      <c r="F23" s="19"/>
      <c r="G23" s="18" t="s">
        <v>93</v>
      </c>
      <c r="H23" s="18" t="s">
        <v>94</v>
      </c>
    </row>
    <row r="24" spans="2:8" ht="12.75" customHeight="1" x14ac:dyDescent="0.25">
      <c r="B24" s="17">
        <v>20</v>
      </c>
      <c r="C24" s="18">
        <v>770255983</v>
      </c>
      <c r="D24" s="18">
        <v>1495990901</v>
      </c>
      <c r="E24" s="18" t="s">
        <v>95</v>
      </c>
      <c r="F24" s="19"/>
      <c r="G24" s="18" t="s">
        <v>96</v>
      </c>
      <c r="H24" s="18" t="s">
        <v>97</v>
      </c>
    </row>
    <row r="25" spans="2:8" ht="12.75" customHeight="1" x14ac:dyDescent="0.25">
      <c r="B25" s="17">
        <v>21</v>
      </c>
      <c r="C25" s="18">
        <v>1249150122</v>
      </c>
      <c r="D25" s="18">
        <v>1856431235</v>
      </c>
      <c r="E25" s="18" t="s">
        <v>98</v>
      </c>
      <c r="F25" s="19"/>
      <c r="G25" s="18" t="s">
        <v>99</v>
      </c>
      <c r="H25" s="18" t="s">
        <v>100</v>
      </c>
    </row>
    <row r="26" spans="2:8" ht="12.75" customHeight="1" x14ac:dyDescent="0.25">
      <c r="B26" s="17">
        <v>22</v>
      </c>
      <c r="C26" s="18">
        <v>1555081692</v>
      </c>
      <c r="D26" s="18">
        <v>3175218132</v>
      </c>
      <c r="E26" s="18" t="s">
        <v>101</v>
      </c>
      <c r="F26" s="19"/>
      <c r="G26" s="18" t="s">
        <v>102</v>
      </c>
      <c r="H26" s="18" t="s">
        <v>103</v>
      </c>
    </row>
    <row r="27" spans="2:8" ht="12.75" customHeight="1" x14ac:dyDescent="0.25">
      <c r="B27" s="17">
        <v>23</v>
      </c>
      <c r="C27" s="18">
        <v>1996064986</v>
      </c>
      <c r="D27" s="18">
        <v>2198950837</v>
      </c>
      <c r="E27" s="18" t="s">
        <v>104</v>
      </c>
      <c r="F27" s="19"/>
      <c r="G27" s="18" t="s">
        <v>105</v>
      </c>
      <c r="H27" s="18" t="s">
        <v>106</v>
      </c>
    </row>
    <row r="28" spans="2:8" ht="12.75" customHeight="1" x14ac:dyDescent="0.25">
      <c r="B28" s="17">
        <v>24</v>
      </c>
      <c r="C28" s="18">
        <v>2554220882</v>
      </c>
      <c r="D28" s="18">
        <v>3999719339</v>
      </c>
      <c r="E28" s="18" t="s">
        <v>107</v>
      </c>
      <c r="F28" s="19"/>
      <c r="G28" s="18" t="s">
        <v>108</v>
      </c>
      <c r="H28" s="18" t="s">
        <v>109</v>
      </c>
    </row>
    <row r="29" spans="2:8" ht="12.75" customHeight="1" x14ac:dyDescent="0.25">
      <c r="B29" s="17">
        <v>25</v>
      </c>
      <c r="C29" s="18">
        <v>2821834349</v>
      </c>
      <c r="D29" s="18">
        <v>766784016</v>
      </c>
      <c r="E29" s="18" t="s">
        <v>110</v>
      </c>
      <c r="F29" s="19"/>
      <c r="G29" s="18" t="s">
        <v>111</v>
      </c>
      <c r="H29" s="18" t="s">
        <v>112</v>
      </c>
    </row>
    <row r="30" spans="2:8" ht="12.75" customHeight="1" x14ac:dyDescent="0.25">
      <c r="B30" s="17">
        <v>26</v>
      </c>
      <c r="C30" s="18">
        <v>2952996808</v>
      </c>
      <c r="D30" s="18">
        <v>2566594879</v>
      </c>
      <c r="E30" s="18" t="s">
        <v>113</v>
      </c>
      <c r="F30" s="19"/>
      <c r="G30" s="18" t="s">
        <v>114</v>
      </c>
      <c r="H30" s="18" t="s">
        <v>115</v>
      </c>
    </row>
    <row r="31" spans="2:8" ht="12.75" customHeight="1" x14ac:dyDescent="0.25">
      <c r="B31" s="17">
        <v>27</v>
      </c>
      <c r="C31" s="18">
        <v>3210313671</v>
      </c>
      <c r="D31" s="18">
        <v>3203337956</v>
      </c>
      <c r="E31" s="18" t="s">
        <v>116</v>
      </c>
      <c r="F31" s="19"/>
      <c r="G31" s="18" t="s">
        <v>117</v>
      </c>
      <c r="H31" s="18" t="s">
        <v>118</v>
      </c>
    </row>
    <row r="32" spans="2:8" ht="12.75" customHeight="1" x14ac:dyDescent="0.25">
      <c r="B32" s="17">
        <v>28</v>
      </c>
      <c r="C32" s="18">
        <v>3336571891</v>
      </c>
      <c r="D32" s="18">
        <v>1034457026</v>
      </c>
      <c r="E32" s="18" t="s">
        <v>119</v>
      </c>
      <c r="F32" s="19"/>
      <c r="G32" s="18" t="s">
        <v>120</v>
      </c>
      <c r="H32" s="18" t="s">
        <v>121</v>
      </c>
    </row>
    <row r="33" spans="2:8" ht="12.75" customHeight="1" x14ac:dyDescent="0.25">
      <c r="B33" s="17">
        <v>29</v>
      </c>
      <c r="C33" s="18">
        <v>3584528711</v>
      </c>
      <c r="D33" s="18">
        <v>2466948901</v>
      </c>
      <c r="E33" s="18" t="s">
        <v>122</v>
      </c>
      <c r="F33" s="19"/>
      <c r="G33" s="18" t="s">
        <v>123</v>
      </c>
      <c r="H33" s="18" t="s">
        <v>124</v>
      </c>
    </row>
    <row r="34" spans="2:8" ht="12.75" customHeight="1" x14ac:dyDescent="0.25">
      <c r="B34" s="17">
        <v>30</v>
      </c>
      <c r="C34" s="18">
        <v>113926993</v>
      </c>
      <c r="D34" s="18">
        <v>3758326383</v>
      </c>
      <c r="E34" s="18" t="s">
        <v>125</v>
      </c>
      <c r="F34" s="19"/>
      <c r="G34" s="18" t="s">
        <v>126</v>
      </c>
      <c r="H34" s="18" t="s">
        <v>127</v>
      </c>
    </row>
    <row r="35" spans="2:8" ht="12.75" customHeight="1" x14ac:dyDescent="0.25">
      <c r="B35" s="17">
        <v>31</v>
      </c>
      <c r="C35" s="18">
        <v>338241895</v>
      </c>
      <c r="D35" s="18">
        <v>168717936</v>
      </c>
      <c r="E35" s="18" t="s">
        <v>128</v>
      </c>
      <c r="F35" s="19"/>
      <c r="G35" s="18" t="s">
        <v>129</v>
      </c>
      <c r="H35" s="18" t="s">
        <v>130</v>
      </c>
    </row>
    <row r="36" spans="2:8" ht="12.75" customHeight="1" x14ac:dyDescent="0.25">
      <c r="B36" s="17">
        <v>32</v>
      </c>
      <c r="C36" s="18">
        <v>666307205</v>
      </c>
      <c r="D36" s="18">
        <v>1188179964</v>
      </c>
      <c r="E36" s="18" t="s">
        <v>131</v>
      </c>
      <c r="F36" s="19"/>
      <c r="G36" s="18" t="s">
        <v>132</v>
      </c>
      <c r="H36" s="18" t="s">
        <v>133</v>
      </c>
    </row>
    <row r="37" spans="2:8" ht="12.75" customHeight="1" x14ac:dyDescent="0.25">
      <c r="B37" s="17">
        <v>33</v>
      </c>
      <c r="C37" s="18">
        <v>773529912</v>
      </c>
      <c r="D37" s="18">
        <v>1546045734</v>
      </c>
      <c r="E37" s="18" t="s">
        <v>134</v>
      </c>
      <c r="F37" s="19"/>
      <c r="G37" s="18" t="s">
        <v>135</v>
      </c>
      <c r="H37" s="18" t="s">
        <v>136</v>
      </c>
    </row>
    <row r="38" spans="2:8" ht="12.75" customHeight="1" x14ac:dyDescent="0.25">
      <c r="B38" s="17">
        <v>34</v>
      </c>
      <c r="C38" s="18">
        <v>1294757372</v>
      </c>
      <c r="D38" s="18">
        <v>1522805485</v>
      </c>
      <c r="E38" s="18" t="s">
        <v>137</v>
      </c>
      <c r="F38" s="19"/>
      <c r="G38" s="18" t="s">
        <v>138</v>
      </c>
      <c r="H38" s="18" t="s">
        <v>139</v>
      </c>
    </row>
    <row r="39" spans="2:8" ht="12.75" customHeight="1" x14ac:dyDescent="0.25">
      <c r="B39" s="17">
        <v>35</v>
      </c>
      <c r="C39" s="18">
        <v>1396182291</v>
      </c>
      <c r="D39" s="18">
        <v>2643833823</v>
      </c>
      <c r="E39" s="18" t="s">
        <v>140</v>
      </c>
      <c r="F39" s="19"/>
      <c r="G39" s="18" t="s">
        <v>141</v>
      </c>
      <c r="H39" s="18" t="s">
        <v>142</v>
      </c>
    </row>
    <row r="40" spans="2:8" ht="12.75" customHeight="1" x14ac:dyDescent="0.25">
      <c r="B40" s="17">
        <v>36</v>
      </c>
      <c r="C40" s="18">
        <v>1695183700</v>
      </c>
      <c r="D40" s="18">
        <v>2343527390</v>
      </c>
      <c r="E40" s="18" t="s">
        <v>143</v>
      </c>
      <c r="F40" s="19"/>
      <c r="G40" s="18" t="s">
        <v>144</v>
      </c>
      <c r="H40" s="18" t="s">
        <v>145</v>
      </c>
    </row>
    <row r="41" spans="2:8" ht="12.75" customHeight="1" x14ac:dyDescent="0.25">
      <c r="B41" s="17">
        <v>37</v>
      </c>
      <c r="C41" s="18">
        <v>1986661051</v>
      </c>
      <c r="D41" s="18">
        <v>1014477480</v>
      </c>
      <c r="E41" s="18" t="s">
        <v>146</v>
      </c>
      <c r="F41" s="19"/>
      <c r="G41" s="18" t="s">
        <v>147</v>
      </c>
      <c r="H41" s="18" t="s">
        <v>148</v>
      </c>
    </row>
    <row r="42" spans="2:8" ht="12.75" customHeight="1" x14ac:dyDescent="0.25">
      <c r="B42" s="17">
        <v>38</v>
      </c>
      <c r="C42" s="18">
        <v>2177026350</v>
      </c>
      <c r="D42" s="18">
        <v>1206759142</v>
      </c>
      <c r="E42" s="18" t="s">
        <v>149</v>
      </c>
      <c r="F42" s="19"/>
      <c r="G42" s="18" t="s">
        <v>150</v>
      </c>
      <c r="H42" s="18" t="s">
        <v>151</v>
      </c>
    </row>
    <row r="43" spans="2:8" ht="12.75" customHeight="1" x14ac:dyDescent="0.25">
      <c r="B43" s="17">
        <v>39</v>
      </c>
      <c r="C43" s="18">
        <v>2456956037</v>
      </c>
      <c r="D43" s="18">
        <v>344077627</v>
      </c>
      <c r="E43" s="18" t="s">
        <v>152</v>
      </c>
      <c r="F43" s="19"/>
      <c r="G43" s="18" t="s">
        <v>153</v>
      </c>
      <c r="H43" s="18" t="s">
        <v>154</v>
      </c>
    </row>
    <row r="44" spans="2:8" ht="12.75" customHeight="1" x14ac:dyDescent="0.25">
      <c r="B44" s="17">
        <v>40</v>
      </c>
      <c r="C44" s="18">
        <v>2730485921</v>
      </c>
      <c r="D44" s="18">
        <v>1290863460</v>
      </c>
      <c r="E44" s="18" t="s">
        <v>155</v>
      </c>
      <c r="F44" s="19"/>
      <c r="G44" s="18" t="s">
        <v>156</v>
      </c>
      <c r="H44" s="18" t="s">
        <v>157</v>
      </c>
    </row>
    <row r="45" spans="2:8" ht="12.75" customHeight="1" x14ac:dyDescent="0.25">
      <c r="B45" s="17">
        <v>41</v>
      </c>
      <c r="C45" s="18">
        <v>2820302411</v>
      </c>
      <c r="D45" s="18">
        <v>3158454273</v>
      </c>
      <c r="E45" s="18" t="s">
        <v>158</v>
      </c>
      <c r="F45" s="19"/>
      <c r="G45" s="18" t="s">
        <v>159</v>
      </c>
      <c r="H45" s="18" t="s">
        <v>160</v>
      </c>
    </row>
    <row r="46" spans="2:8" ht="12.75" customHeight="1" x14ac:dyDescent="0.25">
      <c r="B46" s="17">
        <v>42</v>
      </c>
      <c r="C46" s="18">
        <v>3259730800</v>
      </c>
      <c r="D46" s="18">
        <v>3505952657</v>
      </c>
      <c r="E46" s="18" t="s">
        <v>161</v>
      </c>
      <c r="F46" s="19"/>
      <c r="G46" s="18" t="s">
        <v>162</v>
      </c>
      <c r="H46" s="18" t="s">
        <v>163</v>
      </c>
    </row>
    <row r="47" spans="2:8" ht="12.75" customHeight="1" x14ac:dyDescent="0.25">
      <c r="B47" s="17">
        <v>43</v>
      </c>
      <c r="C47" s="18">
        <v>3345764771</v>
      </c>
      <c r="D47" s="18">
        <v>106217008</v>
      </c>
      <c r="E47" s="18" t="s">
        <v>164</v>
      </c>
      <c r="F47" s="19"/>
      <c r="G47" s="18" t="s">
        <v>165</v>
      </c>
      <c r="H47" s="18" t="s">
        <v>166</v>
      </c>
    </row>
    <row r="48" spans="2:8" ht="12.75" customHeight="1" x14ac:dyDescent="0.25">
      <c r="B48" s="17">
        <v>44</v>
      </c>
      <c r="C48" s="18">
        <v>3516065817</v>
      </c>
      <c r="D48" s="18">
        <v>3606008344</v>
      </c>
      <c r="E48" s="18" t="s">
        <v>167</v>
      </c>
      <c r="F48" s="19"/>
      <c r="G48" s="18" t="s">
        <v>168</v>
      </c>
      <c r="H48" s="18" t="s">
        <v>169</v>
      </c>
    </row>
    <row r="49" spans="2:8" ht="12.75" customHeight="1" x14ac:dyDescent="0.25">
      <c r="B49" s="17">
        <v>45</v>
      </c>
      <c r="C49" s="18">
        <v>3600352804</v>
      </c>
      <c r="D49" s="18">
        <v>1432725776</v>
      </c>
      <c r="E49" s="18" t="s">
        <v>170</v>
      </c>
      <c r="F49" s="19"/>
      <c r="G49" s="18" t="s">
        <v>171</v>
      </c>
      <c r="H49" s="18" t="s">
        <v>172</v>
      </c>
    </row>
    <row r="50" spans="2:8" ht="12.75" customHeight="1" x14ac:dyDescent="0.25">
      <c r="B50" s="17">
        <v>46</v>
      </c>
      <c r="C50" s="18">
        <v>4094571909</v>
      </c>
      <c r="D50" s="18">
        <v>1467031594</v>
      </c>
      <c r="E50" s="18" t="s">
        <v>173</v>
      </c>
      <c r="F50" s="19"/>
      <c r="G50" s="18" t="s">
        <v>174</v>
      </c>
      <c r="H50" s="18" t="s">
        <v>175</v>
      </c>
    </row>
    <row r="51" spans="2:8" ht="12.75" customHeight="1" x14ac:dyDescent="0.25">
      <c r="B51" s="17">
        <v>47</v>
      </c>
      <c r="C51" s="18">
        <v>275423344</v>
      </c>
      <c r="D51" s="18">
        <v>851169720</v>
      </c>
      <c r="E51" s="18" t="s">
        <v>176</v>
      </c>
      <c r="F51" s="19"/>
      <c r="G51" s="18" t="s">
        <v>177</v>
      </c>
      <c r="H51" s="18" t="s">
        <v>178</v>
      </c>
    </row>
    <row r="52" spans="2:8" ht="12.75" customHeight="1" x14ac:dyDescent="0.25">
      <c r="B52" s="17">
        <v>48</v>
      </c>
      <c r="C52" s="18">
        <v>430227734</v>
      </c>
      <c r="D52" s="18">
        <v>3100823752</v>
      </c>
      <c r="E52" s="18" t="s">
        <v>179</v>
      </c>
      <c r="F52" s="19"/>
      <c r="G52" s="18" t="s">
        <v>180</v>
      </c>
      <c r="H52" s="18" t="s">
        <v>181</v>
      </c>
    </row>
    <row r="53" spans="2:8" ht="12.75" customHeight="1" x14ac:dyDescent="0.25">
      <c r="B53" s="17">
        <v>49</v>
      </c>
      <c r="C53" s="18">
        <v>506948616</v>
      </c>
      <c r="D53" s="18">
        <v>1363258195</v>
      </c>
      <c r="E53" s="18" t="s">
        <v>182</v>
      </c>
      <c r="F53" s="19"/>
      <c r="G53" s="18" t="s">
        <v>183</v>
      </c>
      <c r="H53" s="18" t="s">
        <v>184</v>
      </c>
    </row>
    <row r="54" spans="2:8" ht="12.75" customHeight="1" x14ac:dyDescent="0.25">
      <c r="B54" s="17">
        <v>50</v>
      </c>
      <c r="C54" s="18">
        <v>659060556</v>
      </c>
      <c r="D54" s="18">
        <v>3750685593</v>
      </c>
      <c r="E54" s="18" t="s">
        <v>185</v>
      </c>
      <c r="F54" s="19"/>
      <c r="G54" s="18" t="s">
        <v>186</v>
      </c>
      <c r="H54" s="18" t="s">
        <v>187</v>
      </c>
    </row>
    <row r="55" spans="2:8" ht="12.75" customHeight="1" x14ac:dyDescent="0.25">
      <c r="B55" s="17">
        <v>51</v>
      </c>
      <c r="C55" s="18">
        <v>883997877</v>
      </c>
      <c r="D55" s="18">
        <v>3785050280</v>
      </c>
      <c r="E55" s="18" t="s">
        <v>188</v>
      </c>
      <c r="F55" s="19"/>
      <c r="G55" s="18" t="s">
        <v>189</v>
      </c>
      <c r="H55" s="18" t="s">
        <v>190</v>
      </c>
    </row>
    <row r="56" spans="2:8" ht="12.75" customHeight="1" x14ac:dyDescent="0.25">
      <c r="B56" s="17">
        <v>52</v>
      </c>
      <c r="C56" s="18">
        <v>958139571</v>
      </c>
      <c r="D56" s="18">
        <v>3318307427</v>
      </c>
      <c r="E56" s="18" t="s">
        <v>191</v>
      </c>
      <c r="F56" s="19"/>
      <c r="G56" s="18" t="s">
        <v>192</v>
      </c>
      <c r="H56" s="18" t="s">
        <v>193</v>
      </c>
    </row>
    <row r="57" spans="2:8" ht="12.75" customHeight="1" x14ac:dyDescent="0.25">
      <c r="B57" s="17">
        <v>53</v>
      </c>
      <c r="C57" s="18">
        <v>1322822218</v>
      </c>
      <c r="D57" s="18">
        <v>3812723403</v>
      </c>
      <c r="E57" s="18" t="s">
        <v>194</v>
      </c>
      <c r="F57" s="19"/>
      <c r="G57" s="18" t="s">
        <v>195</v>
      </c>
      <c r="H57" s="18" t="s">
        <v>196</v>
      </c>
    </row>
    <row r="58" spans="2:8" ht="12.75" customHeight="1" x14ac:dyDescent="0.25">
      <c r="B58" s="17">
        <v>54</v>
      </c>
      <c r="C58" s="18">
        <v>1537002063</v>
      </c>
      <c r="D58" s="18">
        <v>2003034995</v>
      </c>
      <c r="E58" s="18" t="s">
        <v>197</v>
      </c>
      <c r="F58" s="19"/>
      <c r="G58" s="18" t="s">
        <v>198</v>
      </c>
      <c r="H58" s="18" t="s">
        <v>199</v>
      </c>
    </row>
    <row r="59" spans="2:8" ht="12.75" customHeight="1" x14ac:dyDescent="0.25">
      <c r="B59" s="17">
        <v>55</v>
      </c>
      <c r="C59" s="18">
        <v>1747873779</v>
      </c>
      <c r="D59" s="18">
        <v>3602036899</v>
      </c>
      <c r="E59" s="18" t="s">
        <v>200</v>
      </c>
      <c r="F59" s="19"/>
      <c r="G59" s="18" t="s">
        <v>201</v>
      </c>
      <c r="H59" s="18" t="s">
        <v>202</v>
      </c>
    </row>
    <row r="60" spans="2:8" ht="12.75" customHeight="1" x14ac:dyDescent="0.25">
      <c r="B60" s="17">
        <v>56</v>
      </c>
      <c r="C60" s="18">
        <v>1955562222</v>
      </c>
      <c r="D60" s="18">
        <v>1575990012</v>
      </c>
      <c r="E60" s="18" t="s">
        <v>203</v>
      </c>
      <c r="F60" s="19"/>
      <c r="G60" s="18" t="s">
        <v>204</v>
      </c>
      <c r="H60" s="18" t="s">
        <v>205</v>
      </c>
    </row>
    <row r="61" spans="2:8" ht="12.75" customHeight="1" x14ac:dyDescent="0.25">
      <c r="B61" s="17">
        <v>57</v>
      </c>
      <c r="C61" s="18">
        <v>2024104815</v>
      </c>
      <c r="D61" s="18">
        <v>1125592928</v>
      </c>
      <c r="E61" s="18" t="s">
        <v>206</v>
      </c>
      <c r="F61" s="19"/>
      <c r="G61" s="18" t="s">
        <v>207</v>
      </c>
      <c r="H61" s="18" t="s">
        <v>208</v>
      </c>
    </row>
    <row r="62" spans="2:8" ht="12.75" customHeight="1" x14ac:dyDescent="0.25">
      <c r="B62" s="17">
        <v>58</v>
      </c>
      <c r="C62" s="18">
        <v>2227730452</v>
      </c>
      <c r="D62" s="18">
        <v>2716904306</v>
      </c>
      <c r="E62" s="18" t="s">
        <v>209</v>
      </c>
      <c r="F62" s="19"/>
      <c r="G62" s="18" t="s">
        <v>210</v>
      </c>
      <c r="H62" s="18" t="s">
        <v>211</v>
      </c>
    </row>
    <row r="63" spans="2:8" ht="12.75" customHeight="1" x14ac:dyDescent="0.25">
      <c r="B63" s="17">
        <v>59</v>
      </c>
      <c r="C63" s="18">
        <v>2361852424</v>
      </c>
      <c r="D63" s="18">
        <v>442776044</v>
      </c>
      <c r="E63" s="18" t="s">
        <v>212</v>
      </c>
      <c r="F63" s="19"/>
      <c r="G63" s="18" t="s">
        <v>213</v>
      </c>
      <c r="H63" s="18" t="s">
        <v>214</v>
      </c>
    </row>
    <row r="64" spans="2:8" ht="12.75" customHeight="1" x14ac:dyDescent="0.25">
      <c r="B64" s="17">
        <v>60</v>
      </c>
      <c r="C64" s="18">
        <v>2428436474</v>
      </c>
      <c r="D64" s="18">
        <v>593698344</v>
      </c>
      <c r="E64" s="18" t="s">
        <v>215</v>
      </c>
      <c r="F64" s="19"/>
      <c r="G64" s="18" t="s">
        <v>216</v>
      </c>
      <c r="H64" s="18" t="s">
        <v>217</v>
      </c>
    </row>
    <row r="65" spans="2:8" ht="12.75" customHeight="1" x14ac:dyDescent="0.25">
      <c r="B65" s="17">
        <v>61</v>
      </c>
      <c r="C65" s="18">
        <v>2756734187</v>
      </c>
      <c r="D65" s="18">
        <v>3733110249</v>
      </c>
      <c r="E65" s="18" t="s">
        <v>218</v>
      </c>
      <c r="F65" s="19"/>
      <c r="G65" s="18" t="s">
        <v>219</v>
      </c>
      <c r="H65" s="18" t="s">
        <v>220</v>
      </c>
    </row>
    <row r="66" spans="2:8" ht="12.75" customHeight="1" x14ac:dyDescent="0.25">
      <c r="B66" s="17">
        <v>62</v>
      </c>
      <c r="C66" s="18">
        <v>3204031479</v>
      </c>
      <c r="D66" s="18">
        <v>2999351573</v>
      </c>
      <c r="E66" s="18" t="s">
        <v>221</v>
      </c>
      <c r="F66" s="19"/>
      <c r="G66" s="18" t="s">
        <v>222</v>
      </c>
      <c r="H66" s="18" t="s">
        <v>223</v>
      </c>
    </row>
    <row r="67" spans="2:8" ht="12.75" customHeight="1" x14ac:dyDescent="0.25">
      <c r="B67" s="17">
        <v>63</v>
      </c>
      <c r="C67" s="18">
        <v>3329325298</v>
      </c>
      <c r="D67" s="18">
        <v>3815920427</v>
      </c>
      <c r="E67" s="18" t="s">
        <v>224</v>
      </c>
      <c r="F67" s="19"/>
      <c r="G67" s="18" t="s">
        <v>225</v>
      </c>
      <c r="H67" s="18" t="s">
        <v>226</v>
      </c>
    </row>
    <row r="68" spans="2:8" ht="12.75" customHeight="1" x14ac:dyDescent="0.25">
      <c r="B68" s="17">
        <v>64</v>
      </c>
      <c r="C68" s="18">
        <v>3391569614</v>
      </c>
      <c r="D68" s="18">
        <v>3928383900</v>
      </c>
      <c r="E68" s="18" t="s">
        <v>227</v>
      </c>
      <c r="F68" s="19"/>
      <c r="G68" s="18" t="s">
        <v>228</v>
      </c>
      <c r="H68" s="18" t="s">
        <v>229</v>
      </c>
    </row>
    <row r="69" spans="2:8" ht="12.75" customHeight="1" x14ac:dyDescent="0.25">
      <c r="B69" s="17">
        <v>65</v>
      </c>
      <c r="C69" s="18">
        <v>3515267271</v>
      </c>
      <c r="D69" s="18">
        <v>566280711</v>
      </c>
      <c r="E69" s="18" t="s">
        <v>230</v>
      </c>
      <c r="F69" s="19"/>
      <c r="G69" s="18" t="s">
        <v>231</v>
      </c>
      <c r="H69" s="18" t="s">
        <v>232</v>
      </c>
    </row>
    <row r="70" spans="2:8" ht="12.75" customHeight="1" x14ac:dyDescent="0.25">
      <c r="B70" s="17">
        <v>66</v>
      </c>
      <c r="C70" s="18">
        <v>3940187606</v>
      </c>
      <c r="D70" s="18">
        <v>3454069534</v>
      </c>
      <c r="E70" s="18" t="s">
        <v>233</v>
      </c>
      <c r="F70" s="19"/>
      <c r="G70" s="18" t="s">
        <v>234</v>
      </c>
      <c r="H70" s="18" t="s">
        <v>235</v>
      </c>
    </row>
    <row r="71" spans="2:8" ht="12.75" customHeight="1" x14ac:dyDescent="0.25">
      <c r="B71" s="17">
        <v>67</v>
      </c>
      <c r="C71" s="18">
        <v>4118630271</v>
      </c>
      <c r="D71" s="18">
        <v>4000239992</v>
      </c>
      <c r="E71" s="18" t="s">
        <v>236</v>
      </c>
      <c r="F71" s="19"/>
      <c r="G71" s="18" t="s">
        <v>237</v>
      </c>
      <c r="H71" s="18" t="s">
        <v>238</v>
      </c>
    </row>
    <row r="72" spans="2:8" ht="12.75" customHeight="1" x14ac:dyDescent="0.25">
      <c r="B72" s="17">
        <v>68</v>
      </c>
      <c r="C72" s="18">
        <v>116418474</v>
      </c>
      <c r="D72" s="18">
        <v>1914138554</v>
      </c>
      <c r="E72" s="18" t="s">
        <v>239</v>
      </c>
      <c r="F72" s="19"/>
      <c r="G72" s="18" t="s">
        <v>240</v>
      </c>
      <c r="H72" s="18" t="s">
        <v>241</v>
      </c>
    </row>
    <row r="73" spans="2:8" ht="12.75" customHeight="1" x14ac:dyDescent="0.25">
      <c r="B73" s="17">
        <v>69</v>
      </c>
      <c r="C73" s="18">
        <v>174292421</v>
      </c>
      <c r="D73" s="18">
        <v>2731055270</v>
      </c>
      <c r="E73" s="18" t="s">
        <v>242</v>
      </c>
      <c r="F73" s="19"/>
      <c r="G73" s="18" t="s">
        <v>243</v>
      </c>
      <c r="H73" s="18" t="s">
        <v>244</v>
      </c>
    </row>
    <row r="74" spans="2:8" ht="12.75" customHeight="1" x14ac:dyDescent="0.25">
      <c r="B74" s="17">
        <v>70</v>
      </c>
      <c r="C74" s="18">
        <v>289380356</v>
      </c>
      <c r="D74" s="18">
        <v>3203993006</v>
      </c>
      <c r="E74" s="18" t="s">
        <v>245</v>
      </c>
      <c r="F74" s="19"/>
      <c r="G74" s="18" t="s">
        <v>246</v>
      </c>
      <c r="H74" s="18" t="s">
        <v>247</v>
      </c>
    </row>
    <row r="75" spans="2:8" ht="12.75" customHeight="1" x14ac:dyDescent="0.25">
      <c r="B75" s="17">
        <v>71</v>
      </c>
      <c r="C75" s="18">
        <v>460393269</v>
      </c>
      <c r="D75" s="18">
        <v>320620315</v>
      </c>
      <c r="E75" s="18" t="s">
        <v>248</v>
      </c>
      <c r="F75" s="19"/>
      <c r="G75" s="18" t="s">
        <v>249</v>
      </c>
      <c r="H75" s="18" t="s">
        <v>250</v>
      </c>
    </row>
    <row r="76" spans="2:8" ht="12.75" customHeight="1" x14ac:dyDescent="0.25">
      <c r="B76" s="17">
        <v>72</v>
      </c>
      <c r="C76" s="18">
        <v>685471733</v>
      </c>
      <c r="D76" s="18">
        <v>587496836</v>
      </c>
      <c r="E76" s="18" t="s">
        <v>251</v>
      </c>
      <c r="F76" s="19"/>
      <c r="G76" s="18" t="s">
        <v>252</v>
      </c>
      <c r="H76" s="18" t="s">
        <v>253</v>
      </c>
    </row>
    <row r="77" spans="2:8" ht="12.75" customHeight="1" x14ac:dyDescent="0.25">
      <c r="B77" s="17">
        <v>73</v>
      </c>
      <c r="C77" s="18">
        <v>852142971</v>
      </c>
      <c r="D77" s="18">
        <v>1086792851</v>
      </c>
      <c r="E77" s="18" t="s">
        <v>254</v>
      </c>
      <c r="F77" s="19"/>
      <c r="G77" s="18" t="s">
        <v>255</v>
      </c>
      <c r="H77" s="18" t="s">
        <v>256</v>
      </c>
    </row>
    <row r="78" spans="2:8" ht="12.75" customHeight="1" x14ac:dyDescent="0.25">
      <c r="B78" s="17">
        <v>74</v>
      </c>
      <c r="C78" s="18">
        <v>1017036298</v>
      </c>
      <c r="D78" s="18">
        <v>365543100</v>
      </c>
      <c r="E78" s="18" t="s">
        <v>257</v>
      </c>
      <c r="F78" s="19"/>
      <c r="G78" s="18" t="s">
        <v>258</v>
      </c>
      <c r="H78" s="18" t="s">
        <v>259</v>
      </c>
    </row>
    <row r="79" spans="2:8" ht="12.75" customHeight="1" x14ac:dyDescent="0.25">
      <c r="B79" s="17">
        <v>75</v>
      </c>
      <c r="C79" s="18">
        <v>1126000580</v>
      </c>
      <c r="D79" s="18">
        <v>2618297676</v>
      </c>
      <c r="E79" s="18" t="s">
        <v>260</v>
      </c>
      <c r="F79" s="19"/>
      <c r="G79" s="18" t="s">
        <v>261</v>
      </c>
      <c r="H79" s="18" t="s">
        <v>262</v>
      </c>
    </row>
    <row r="80" spans="2:8" ht="12.75" customHeight="1" x14ac:dyDescent="0.25">
      <c r="B80" s="17">
        <v>76</v>
      </c>
      <c r="C80" s="18">
        <v>1288033470</v>
      </c>
      <c r="D80" s="18">
        <v>3409855158</v>
      </c>
      <c r="E80" s="18" t="s">
        <v>263</v>
      </c>
      <c r="F80" s="19"/>
      <c r="G80" s="18" t="s">
        <v>264</v>
      </c>
      <c r="H80" s="18" t="s">
        <v>265</v>
      </c>
    </row>
    <row r="81" spans="2:8" ht="12.75" customHeight="1" x14ac:dyDescent="0.25">
      <c r="B81" s="17">
        <v>77</v>
      </c>
      <c r="C81" s="18">
        <v>1501505948</v>
      </c>
      <c r="D81" s="18">
        <v>4234509866</v>
      </c>
      <c r="E81" s="18" t="s">
        <v>266</v>
      </c>
      <c r="F81" s="19"/>
      <c r="G81" s="18" t="s">
        <v>267</v>
      </c>
      <c r="H81" s="18" t="s">
        <v>268</v>
      </c>
    </row>
    <row r="82" spans="2:8" ht="12.75" customHeight="1" x14ac:dyDescent="0.25">
      <c r="B82" s="17">
        <v>78</v>
      </c>
      <c r="C82" s="18">
        <v>1607167915</v>
      </c>
      <c r="D82" s="18">
        <v>987167468</v>
      </c>
      <c r="E82" s="18" t="s">
        <v>269</v>
      </c>
      <c r="F82" s="19"/>
      <c r="G82" s="18" t="s">
        <v>270</v>
      </c>
      <c r="H82" s="18" t="s">
        <v>271</v>
      </c>
    </row>
    <row r="83" spans="2:8" ht="12.75" customHeight="1" x14ac:dyDescent="0.25">
      <c r="B83" s="17">
        <v>79</v>
      </c>
      <c r="C83" s="18">
        <v>1816402316</v>
      </c>
      <c r="D83" s="18">
        <v>1246189591</v>
      </c>
      <c r="E83" s="18" t="s">
        <v>272</v>
      </c>
      <c r="F83" s="19"/>
      <c r="G83" s="18" t="s">
        <v>273</v>
      </c>
      <c r="H83" s="18" t="s">
        <v>274</v>
      </c>
    </row>
  </sheetData>
  <mergeCells count="2">
    <mergeCell ref="B1:J1"/>
    <mergeCell ref="B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79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7109375" defaultRowHeight="15" x14ac:dyDescent="0.25"/>
  <cols>
    <col min="1" max="1" width="3" style="14" customWidth="1"/>
    <col min="2" max="2" width="12" style="14" customWidth="1"/>
    <col min="3" max="18" width="9" style="14" customWidth="1"/>
    <col min="19" max="59" width="7" style="14" customWidth="1"/>
    <col min="60" max="61" width="12" style="14" customWidth="1"/>
    <col min="62" max="99" width="7" style="14" customWidth="1"/>
  </cols>
  <sheetData>
    <row r="1" spans="2:78" ht="27.75" customHeight="1" x14ac:dyDescent="0.25">
      <c r="B1" s="2" t="s">
        <v>275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</row>
    <row r="2" spans="2:78" ht="25.5" customHeight="1" x14ac:dyDescent="0.25">
      <c r="B2" s="60" t="s">
        <v>276</v>
      </c>
      <c r="C2" s="60"/>
      <c r="D2" s="61" t="str">
        <f>C90&amp;C91&amp;C92&amp;C93&amp;C94&amp;C95&amp;C96&amp;C97</f>
        <v>9b71d224bd62f3785d96d46ad3ea3d73319bfbc2890caadae2dff72519673ca72323c3d99ba5c11d7c7acc6e14b8c5da0c4663475c2e5c3adef46f73bcdec043</v>
      </c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1"/>
      <c r="AX2" s="61"/>
      <c r="AY2" s="61"/>
      <c r="AZ2" s="61"/>
      <c r="BA2" s="61"/>
      <c r="BB2" s="61"/>
      <c r="BC2" s="61"/>
      <c r="BD2" s="61"/>
      <c r="BE2" s="61"/>
      <c r="BF2" s="61"/>
      <c r="BG2" s="61"/>
      <c r="BH2" s="61"/>
      <c r="BI2" s="61"/>
      <c r="BJ2" s="61"/>
      <c r="BK2" s="61"/>
      <c r="BL2" s="61"/>
      <c r="BM2" s="61"/>
      <c r="BN2" s="61"/>
      <c r="BO2" s="61"/>
      <c r="BP2" s="61"/>
      <c r="BQ2" s="61"/>
      <c r="BR2" s="61"/>
      <c r="BS2" s="61"/>
      <c r="BT2" s="61"/>
      <c r="BU2" s="61"/>
      <c r="BV2" s="61"/>
      <c r="BW2" s="61"/>
      <c r="BX2" s="61"/>
      <c r="BY2" s="61"/>
      <c r="BZ2" s="61"/>
    </row>
    <row r="3" spans="2:78" ht="25.5" customHeight="1" x14ac:dyDescent="0.25">
      <c r="B3" s="62" t="s">
        <v>277</v>
      </c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62"/>
      <c r="BC3" s="62"/>
      <c r="BD3" s="62"/>
      <c r="BE3" s="62"/>
      <c r="BF3" s="62"/>
      <c r="BG3" s="62"/>
      <c r="BH3" s="62"/>
      <c r="BI3" s="62"/>
      <c r="BJ3" s="62"/>
      <c r="BK3" s="62"/>
      <c r="BL3" s="62"/>
      <c r="BM3" s="62"/>
      <c r="BN3" s="62"/>
      <c r="BO3" s="62"/>
      <c r="BP3" s="62"/>
      <c r="BQ3" s="62"/>
      <c r="BR3" s="62"/>
      <c r="BS3" s="62"/>
      <c r="BT3" s="62"/>
      <c r="BU3" s="62"/>
      <c r="BV3" s="62"/>
      <c r="BW3" s="62"/>
      <c r="BX3" s="62"/>
      <c r="BY3" s="62"/>
      <c r="BZ3" s="62"/>
    </row>
    <row r="4" spans="2:78" ht="19.5" customHeight="1" x14ac:dyDescent="0.25">
      <c r="B4" s="20" t="s">
        <v>278</v>
      </c>
      <c r="C4" s="21" t="s">
        <v>279</v>
      </c>
      <c r="D4" s="21" t="s">
        <v>280</v>
      </c>
      <c r="E4" s="21" t="s">
        <v>281</v>
      </c>
      <c r="F4" s="21" t="s">
        <v>282</v>
      </c>
      <c r="G4" s="21" t="s">
        <v>283</v>
      </c>
      <c r="H4" s="21" t="s">
        <v>284</v>
      </c>
      <c r="I4" s="21" t="s">
        <v>285</v>
      </c>
      <c r="J4" s="21" t="s">
        <v>286</v>
      </c>
      <c r="K4" s="21" t="s">
        <v>287</v>
      </c>
      <c r="L4" s="21" t="s">
        <v>288</v>
      </c>
      <c r="M4" s="21" t="s">
        <v>289</v>
      </c>
      <c r="N4" s="21" t="s">
        <v>290</v>
      </c>
      <c r="O4" s="21" t="s">
        <v>291</v>
      </c>
      <c r="P4" s="21" t="s">
        <v>292</v>
      </c>
      <c r="Q4" s="21" t="s">
        <v>293</v>
      </c>
      <c r="R4" s="21" t="s">
        <v>294</v>
      </c>
      <c r="BH4" s="21" t="s">
        <v>295</v>
      </c>
      <c r="BI4" s="21" t="s">
        <v>296</v>
      </c>
    </row>
    <row r="5" spans="2:78" ht="13.5" customHeight="1" x14ac:dyDescent="0.25">
      <c r="B5" s="20" t="s">
        <v>297</v>
      </c>
      <c r="C5" s="17">
        <v>1779033703</v>
      </c>
      <c r="D5" s="17">
        <v>4089235720</v>
      </c>
      <c r="E5" s="17">
        <v>3144134277</v>
      </c>
      <c r="F5" s="17">
        <v>2227873595</v>
      </c>
      <c r="G5" s="17">
        <v>1013904242</v>
      </c>
      <c r="H5" s="17">
        <v>4271175723</v>
      </c>
      <c r="I5" s="17">
        <v>2773480762</v>
      </c>
      <c r="J5" s="17">
        <v>1595750129</v>
      </c>
      <c r="K5" s="17">
        <v>1359893119</v>
      </c>
      <c r="L5" s="17">
        <v>2917565137</v>
      </c>
      <c r="M5" s="17">
        <v>2600822924</v>
      </c>
      <c r="N5" s="17">
        <v>725511199</v>
      </c>
      <c r="O5" s="17">
        <v>528734635</v>
      </c>
      <c r="P5" s="17">
        <v>4215389547</v>
      </c>
      <c r="Q5" s="17">
        <v>1541459225</v>
      </c>
      <c r="R5" s="17">
        <v>327033209</v>
      </c>
    </row>
    <row r="6" spans="2:78" ht="12.75" customHeight="1" x14ac:dyDescent="0.25">
      <c r="B6" s="22">
        <v>1</v>
      </c>
      <c r="C6" s="23">
        <f t="shared" ref="C6:C37" si="0">BW6</f>
        <v>4256356261</v>
      </c>
      <c r="D6" s="23">
        <f t="shared" ref="D6:D37" si="1">BX6</f>
        <v>746380789</v>
      </c>
      <c r="E6" s="23">
        <f t="shared" ref="E6:E37" si="2">C5</f>
        <v>1779033703</v>
      </c>
      <c r="F6" s="23">
        <f t="shared" ref="F6:F37" si="3">D5</f>
        <v>4089235720</v>
      </c>
      <c r="G6" s="23">
        <f t="shared" ref="G6:G37" si="4">E5</f>
        <v>3144134277</v>
      </c>
      <c r="H6" s="23">
        <f t="shared" ref="H6:H37" si="5">F5</f>
        <v>2227873595</v>
      </c>
      <c r="I6" s="23">
        <f t="shared" ref="I6:I37" si="6">G5</f>
        <v>1013904242</v>
      </c>
      <c r="J6" s="23">
        <f t="shared" ref="J6:J37" si="7">H5</f>
        <v>4271175723</v>
      </c>
      <c r="K6" s="23">
        <f t="shared" ref="K6:K37" si="8">BU6</f>
        <v>1607338784</v>
      </c>
      <c r="L6" s="23">
        <f t="shared" ref="L6:L37" si="9">BV6</f>
        <v>3929350033</v>
      </c>
      <c r="M6" s="23">
        <f t="shared" ref="M6:M37" si="10">K5</f>
        <v>1359893119</v>
      </c>
      <c r="N6" s="23">
        <f t="shared" ref="N6:N37" si="11">L5</f>
        <v>2917565137</v>
      </c>
      <c r="O6" s="23">
        <f t="shared" ref="O6:O37" si="12">M5</f>
        <v>2600822924</v>
      </c>
      <c r="P6" s="23">
        <f t="shared" ref="P6:P37" si="13">N5</f>
        <v>725511199</v>
      </c>
      <c r="Q6" s="23">
        <f t="shared" ref="Q6:Q37" si="14">O5</f>
        <v>528734635</v>
      </c>
      <c r="R6" s="23">
        <f t="shared" ref="R6:R37" si="15">P5</f>
        <v>4215389547</v>
      </c>
      <c r="S6" s="24">
        <f t="shared" ref="S6:S37" si="16">MOD(INT(K5/2^14)+MOD(L5,2^14)*2^18,4294967296)</f>
        <v>189088825</v>
      </c>
      <c r="T6" s="24">
        <f t="shared" ref="T6:T37" si="17">MOD(INT(L5/2^14)+MOD(K5,2^14)*2^18,4294967296)</f>
        <v>1241429914</v>
      </c>
      <c r="U6" s="24">
        <f t="shared" ref="U6:U37" si="18">MOD(INT(K5/2^18)+MOD(L5,2^18)*2^14,4294967296)</f>
        <v>2696172611</v>
      </c>
      <c r="V6" s="24">
        <f t="shared" ref="V6:V37" si="19">MOD(INT(L5/2^18)+MOD(K5,2^18)*2^14,4294967296)</f>
        <v>2493508473</v>
      </c>
      <c r="W6" s="24">
        <f t="shared" ref="W6:W37" si="20">MOD(INT(L5/2^9)+MOD(K5,2^9)*2^23,4294967296)</f>
        <v>1071051585</v>
      </c>
      <c r="X6" s="24">
        <f t="shared" ref="X6:X37" si="21">MOD(INT(K5/2^9)+MOD(L5,2^9)*2^23,4294967296)</f>
        <v>1755875113</v>
      </c>
      <c r="Y6" s="24">
        <f t="shared" ref="Y6:Y37" si="22">((MOD(INT(MOD(INT((S6)/1),256)/2^0),2)*MOD(INT(MOD(INT((U6)/1),256)/2^0),2)*1+MOD(INT(MOD(INT((S6)/1),256)/2^1),2)*MOD(INT(MOD(INT((U6)/1),256)/2^1),2)*2+MOD(INT(MOD(INT((S6)/1),256)/2^2),2)*MOD(INT(MOD(INT((U6)/1),256)/2^2),2)*4+MOD(INT(MOD(INT((S6)/1),256)/2^3),2)*MOD(INT(MOD(INT((U6)/1),256)/2^3),2)*8+MOD(INT(MOD(INT((S6)/1),256)/2^4),2)*MOD(INT(MOD(INT((U6)/1),256)/2^4),2)*16+MOD(INT(MOD(INT((S6)/1),256)/2^5),2)*MOD(INT(MOD(INT((U6)/1),256)/2^5),2)*32+MOD(INT(MOD(INT((S6)/1),256)/2^6),2)*MOD(INT(MOD(INT((U6)/1),256)/2^6),2)*64+MOD(INT(MOD(INT((S6)/1),256)/2^7),2)*MOD(INT(MOD(INT((U6)/1),256)/2^7),2)*128)*1+(MOD(INT(MOD(INT((S6)/256),256)/2^0),2)*MOD(INT(MOD(INT((U6)/256),256)/2^0),2)*1+MOD(INT(MOD(INT((S6)/256),256)/2^1),2)*MOD(INT(MOD(INT((U6)/256),256)/2^1),2)*2+MOD(INT(MOD(INT((S6)/256),256)/2^2),2)*MOD(INT(MOD(INT((U6)/256),256)/2^2),2)*4+MOD(INT(MOD(INT((S6)/256),256)/2^3),2)*MOD(INT(MOD(INT((U6)/256),256)/2^3),2)*8+MOD(INT(MOD(INT((S6)/256),256)/2^4),2)*MOD(INT(MOD(INT((U6)/256),256)/2^4),2)*16+MOD(INT(MOD(INT((S6)/256),256)/2^5),2)*MOD(INT(MOD(INT((U6)/256),256)/2^5),2)*32+MOD(INT(MOD(INT((S6)/256),256)/2^6),2)*MOD(INT(MOD(INT((U6)/256),256)/2^6),2)*64+MOD(INT(MOD(INT((S6)/256),256)/2^7),2)*MOD(INT(MOD(INT((U6)/256),256)/2^7),2)*128)*256+(MOD(INT(MOD(INT((S6)/65536),256)/2^0),2)*MOD(INT(MOD(INT((U6)/65536),256)/2^0),2)*1+MOD(INT(MOD(INT((S6)/65536),256)/2^1),2)*MOD(INT(MOD(INT((U6)/65536),256)/2^1),2)*2+MOD(INT(MOD(INT((S6)/65536),256)/2^2),2)*MOD(INT(MOD(INT((U6)/65536),256)/2^2),2)*4+MOD(INT(MOD(INT((S6)/65536),256)/2^3),2)*MOD(INT(MOD(INT((U6)/65536),256)/2^3),2)*8+MOD(INT(MOD(INT((S6)/65536),256)/2^4),2)*MOD(INT(MOD(INT((U6)/65536),256)/2^4),2)*16+MOD(INT(MOD(INT((S6)/65536),256)/2^5),2)*MOD(INT(MOD(INT((U6)/65536),256)/2^5),2)*32+MOD(INT(MOD(INT((S6)/65536),256)/2^6),2)*MOD(INT(MOD(INT((U6)/65536),256)/2^6),2)*64+MOD(INT(MOD(INT((S6)/65536),256)/2^7),2)*MOD(INT(MOD(INT((U6)/65536),256)/2^7),2)*128)*65536+(MOD(INT(MOD(INT((S6)/16777216),256)/2^0),2)*MOD(INT(MOD(INT((U6)/16777216),256)/2^0),2)*1+MOD(INT(MOD(INT((S6)/16777216),256)/2^1),2)*MOD(INT(MOD(INT((U6)/16777216),256)/2^1),2)*2+MOD(INT(MOD(INT((S6)/16777216),256)/2^2),2)*MOD(INT(MOD(INT((U6)/16777216),256)/2^2),2)*4+MOD(INT(MOD(INT((S6)/16777216),256)/2^3),2)*MOD(INT(MOD(INT((U6)/16777216),256)/2^3),2)*8+MOD(INT(MOD(INT((S6)/16777216),256)/2^4),2)*MOD(INT(MOD(INT((U6)/16777216),256)/2^4),2)*16+MOD(INT(MOD(INT((S6)/16777216),256)/2^5),2)*MOD(INT(MOD(INT((U6)/16777216),256)/2^5),2)*32+MOD(INT(MOD(INT((S6)/16777216),256)/2^6),2)*MOD(INT(MOD(INT((U6)/16777216),256)/2^6),2)*64+MOD(INT(MOD(INT((S6)/16777216),256)/2^7),2)*MOD(INT(MOD(INT((U6)/16777216),256)/2^7),2)*128)*16777216)</f>
        <v>279553</v>
      </c>
      <c r="Z6" s="24">
        <f t="shared" ref="Z6:Z37" si="23">((MOD(INT(MOD(INT((T6)/1),256)/2^0),2)*MOD(INT(MOD(INT((V6)/1),256)/2^0),2)*1+MOD(INT(MOD(INT((T6)/1),256)/2^1),2)*MOD(INT(MOD(INT((V6)/1),256)/2^1),2)*2+MOD(INT(MOD(INT((T6)/1),256)/2^2),2)*MOD(INT(MOD(INT((V6)/1),256)/2^2),2)*4+MOD(INT(MOD(INT((T6)/1),256)/2^3),2)*MOD(INT(MOD(INT((V6)/1),256)/2^3),2)*8+MOD(INT(MOD(INT((T6)/1),256)/2^4),2)*MOD(INT(MOD(INT((V6)/1),256)/2^4),2)*16+MOD(INT(MOD(INT((T6)/1),256)/2^5),2)*MOD(INT(MOD(INT((V6)/1),256)/2^5),2)*32+MOD(INT(MOD(INT((T6)/1),256)/2^6),2)*MOD(INT(MOD(INT((V6)/1),256)/2^6),2)*64+MOD(INT(MOD(INT((T6)/1),256)/2^7),2)*MOD(INT(MOD(INT((V6)/1),256)/2^7),2)*128)*1+(MOD(INT(MOD(INT((T6)/256),256)/2^0),2)*MOD(INT(MOD(INT((V6)/256),256)/2^0),2)*1+MOD(INT(MOD(INT((T6)/256),256)/2^1),2)*MOD(INT(MOD(INT((V6)/256),256)/2^1),2)*2+MOD(INT(MOD(INT((T6)/256),256)/2^2),2)*MOD(INT(MOD(INT((V6)/256),256)/2^2),2)*4+MOD(INT(MOD(INT((T6)/256),256)/2^3),2)*MOD(INT(MOD(INT((V6)/256),256)/2^3),2)*8+MOD(INT(MOD(INT((T6)/256),256)/2^4),2)*MOD(INT(MOD(INT((V6)/256),256)/2^4),2)*16+MOD(INT(MOD(INT((T6)/256),256)/2^5),2)*MOD(INT(MOD(INT((V6)/256),256)/2^5),2)*32+MOD(INT(MOD(INT((T6)/256),256)/2^6),2)*MOD(INT(MOD(INT((V6)/256),256)/2^6),2)*64+MOD(INT(MOD(INT((T6)/256),256)/2^7),2)*MOD(INT(MOD(INT((V6)/256),256)/2^7),2)*128)*256+(MOD(INT(MOD(INT((T6)/65536),256)/2^0),2)*MOD(INT(MOD(INT((V6)/65536),256)/2^0),2)*1+MOD(INT(MOD(INT((T6)/65536),256)/2^1),2)*MOD(INT(MOD(INT((V6)/65536),256)/2^1),2)*2+MOD(INT(MOD(INT((T6)/65536),256)/2^2),2)*MOD(INT(MOD(INT((V6)/65536),256)/2^2),2)*4+MOD(INT(MOD(INT((T6)/65536),256)/2^3),2)*MOD(INT(MOD(INT((V6)/65536),256)/2^3),2)*8+MOD(INT(MOD(INT((T6)/65536),256)/2^4),2)*MOD(INT(MOD(INT((V6)/65536),256)/2^4),2)*16+MOD(INT(MOD(INT((T6)/65536),256)/2^5),2)*MOD(INT(MOD(INT((V6)/65536),256)/2^5),2)*32+MOD(INT(MOD(INT((T6)/65536),256)/2^6),2)*MOD(INT(MOD(INT((V6)/65536),256)/2^6),2)*64+MOD(INT(MOD(INT((T6)/65536),256)/2^7),2)*MOD(INT(MOD(INT((V6)/65536),256)/2^7),2)*128)*65536+(MOD(INT(MOD(INT((T6)/16777216),256)/2^0),2)*MOD(INT(MOD(INT((V6)/16777216),256)/2^0),2)*1+MOD(INT(MOD(INT((T6)/16777216),256)/2^1),2)*MOD(INT(MOD(INT((V6)/16777216),256)/2^1),2)*2+MOD(INT(MOD(INT((T6)/16777216),256)/2^2),2)*MOD(INT(MOD(INT((V6)/16777216),256)/2^2),2)*4+MOD(INT(MOD(INT((T6)/16777216),256)/2^3),2)*MOD(INT(MOD(INT((V6)/16777216),256)/2^3),2)*8+MOD(INT(MOD(INT((T6)/16777216),256)/2^4),2)*MOD(INT(MOD(INT((V6)/16777216),256)/2^4),2)*16+MOD(INT(MOD(INT((T6)/16777216),256)/2^5),2)*MOD(INT(MOD(INT((V6)/16777216),256)/2^5),2)*32+MOD(INT(MOD(INT((T6)/16777216),256)/2^6),2)*MOD(INT(MOD(INT((V6)/16777216),256)/2^6),2)*64+MOD(INT(MOD(INT((T6)/16777216),256)/2^7),2)*MOD(INT(MOD(INT((V6)/16777216),256)/2^7),2)*128)*16777216)</f>
        <v>10396440</v>
      </c>
      <c r="AA6" s="24">
        <f t="shared" ref="AA6:AA37" si="24">MOD(S6+U6-2*Y6,4294967296)</f>
        <v>2884702330</v>
      </c>
      <c r="AB6" s="24">
        <f t="shared" ref="AB6:AB37" si="25">MOD(T6+V6-2*Z6,4294967296)</f>
        <v>3714145507</v>
      </c>
      <c r="AC6" s="24">
        <f t="shared" ref="AC6:AC37" si="26">((MOD(INT(MOD(INT((AA6)/1),256)/2^0),2)*MOD(INT(MOD(INT((W6)/1),256)/2^0),2)*1+MOD(INT(MOD(INT((AA6)/1),256)/2^1),2)*MOD(INT(MOD(INT((W6)/1),256)/2^1),2)*2+MOD(INT(MOD(INT((AA6)/1),256)/2^2),2)*MOD(INT(MOD(INT((W6)/1),256)/2^2),2)*4+MOD(INT(MOD(INT((AA6)/1),256)/2^3),2)*MOD(INT(MOD(INT((W6)/1),256)/2^3),2)*8+MOD(INT(MOD(INT((AA6)/1),256)/2^4),2)*MOD(INT(MOD(INT((W6)/1),256)/2^4),2)*16+MOD(INT(MOD(INT((AA6)/1),256)/2^5),2)*MOD(INT(MOD(INT((W6)/1),256)/2^5),2)*32+MOD(INT(MOD(INT((AA6)/1),256)/2^6),2)*MOD(INT(MOD(INT((W6)/1),256)/2^6),2)*64+MOD(INT(MOD(INT((AA6)/1),256)/2^7),2)*MOD(INT(MOD(INT((W6)/1),256)/2^7),2)*128)*1+(MOD(INT(MOD(INT((AA6)/256),256)/2^0),2)*MOD(INT(MOD(INT((W6)/256),256)/2^0),2)*1+MOD(INT(MOD(INT((AA6)/256),256)/2^1),2)*MOD(INT(MOD(INT((W6)/256),256)/2^1),2)*2+MOD(INT(MOD(INT((AA6)/256),256)/2^2),2)*MOD(INT(MOD(INT((W6)/256),256)/2^2),2)*4+MOD(INT(MOD(INT((AA6)/256),256)/2^3),2)*MOD(INT(MOD(INT((W6)/256),256)/2^3),2)*8+MOD(INT(MOD(INT((AA6)/256),256)/2^4),2)*MOD(INT(MOD(INT((W6)/256),256)/2^4),2)*16+MOD(INT(MOD(INT((AA6)/256),256)/2^5),2)*MOD(INT(MOD(INT((W6)/256),256)/2^5),2)*32+MOD(INT(MOD(INT((AA6)/256),256)/2^6),2)*MOD(INT(MOD(INT((W6)/256),256)/2^6),2)*64+MOD(INT(MOD(INT((AA6)/256),256)/2^7),2)*MOD(INT(MOD(INT((W6)/256),256)/2^7),2)*128)*256+(MOD(INT(MOD(INT((AA6)/65536),256)/2^0),2)*MOD(INT(MOD(INT((W6)/65536),256)/2^0),2)*1+MOD(INT(MOD(INT((AA6)/65536),256)/2^1),2)*MOD(INT(MOD(INT((W6)/65536),256)/2^1),2)*2+MOD(INT(MOD(INT((AA6)/65536),256)/2^2),2)*MOD(INT(MOD(INT((W6)/65536),256)/2^2),2)*4+MOD(INT(MOD(INT((AA6)/65536),256)/2^3),2)*MOD(INT(MOD(INT((W6)/65536),256)/2^3),2)*8+MOD(INT(MOD(INT((AA6)/65536),256)/2^4),2)*MOD(INT(MOD(INT((W6)/65536),256)/2^4),2)*16+MOD(INT(MOD(INT((AA6)/65536),256)/2^5),2)*MOD(INT(MOD(INT((W6)/65536),256)/2^5),2)*32+MOD(INT(MOD(INT((AA6)/65536),256)/2^6),2)*MOD(INT(MOD(INT((W6)/65536),256)/2^6),2)*64+MOD(INT(MOD(INT((AA6)/65536),256)/2^7),2)*MOD(INT(MOD(INT((W6)/65536),256)/2^7),2)*128)*65536+(MOD(INT(MOD(INT((AA6)/16777216),256)/2^0),2)*MOD(INT(MOD(INT((W6)/16777216),256)/2^0),2)*1+MOD(INT(MOD(INT((AA6)/16777216),256)/2^1),2)*MOD(INT(MOD(INT((W6)/16777216),256)/2^1),2)*2+MOD(INT(MOD(INT((AA6)/16777216),256)/2^2),2)*MOD(INT(MOD(INT((W6)/16777216),256)/2^2),2)*4+MOD(INT(MOD(INT((AA6)/16777216),256)/2^3),2)*MOD(INT(MOD(INT((W6)/16777216),256)/2^3),2)*8+MOD(INT(MOD(INT((AA6)/16777216),256)/2^4),2)*MOD(INT(MOD(INT((W6)/16777216),256)/2^4),2)*16+MOD(INT(MOD(INT((AA6)/16777216),256)/2^5),2)*MOD(INT(MOD(INT((W6)/16777216),256)/2^5),2)*32+MOD(INT(MOD(INT((AA6)/16777216),256)/2^6),2)*MOD(INT(MOD(INT((W6)/16777216),256)/2^6),2)*64+MOD(INT(MOD(INT((AA6)/16777216),256)/2^7),2)*MOD(INT(MOD(INT((W6)/16777216),256)/2^7),2)*128)*16777216)</f>
        <v>735055936</v>
      </c>
      <c r="AD6" s="24">
        <f t="shared" ref="AD6:AD37" si="27">((MOD(INT(MOD(INT((AB6)/1),256)/2^0),2)*MOD(INT(MOD(INT((X6)/1),256)/2^0),2)*1+MOD(INT(MOD(INT((AB6)/1),256)/2^1),2)*MOD(INT(MOD(INT((X6)/1),256)/2^1),2)*2+MOD(INT(MOD(INT((AB6)/1),256)/2^2),2)*MOD(INT(MOD(INT((X6)/1),256)/2^2),2)*4+MOD(INT(MOD(INT((AB6)/1),256)/2^3),2)*MOD(INT(MOD(INT((X6)/1),256)/2^3),2)*8+MOD(INT(MOD(INT((AB6)/1),256)/2^4),2)*MOD(INT(MOD(INT((X6)/1),256)/2^4),2)*16+MOD(INT(MOD(INT((AB6)/1),256)/2^5),2)*MOD(INT(MOD(INT((X6)/1),256)/2^5),2)*32+MOD(INT(MOD(INT((AB6)/1),256)/2^6),2)*MOD(INT(MOD(INT((X6)/1),256)/2^6),2)*64+MOD(INT(MOD(INT((AB6)/1),256)/2^7),2)*MOD(INT(MOD(INT((X6)/1),256)/2^7),2)*128)*1+(MOD(INT(MOD(INT((AB6)/256),256)/2^0),2)*MOD(INT(MOD(INT((X6)/256),256)/2^0),2)*1+MOD(INT(MOD(INT((AB6)/256),256)/2^1),2)*MOD(INT(MOD(INT((X6)/256),256)/2^1),2)*2+MOD(INT(MOD(INT((AB6)/256),256)/2^2),2)*MOD(INT(MOD(INT((X6)/256),256)/2^2),2)*4+MOD(INT(MOD(INT((AB6)/256),256)/2^3),2)*MOD(INT(MOD(INT((X6)/256),256)/2^3),2)*8+MOD(INT(MOD(INT((AB6)/256),256)/2^4),2)*MOD(INT(MOD(INT((X6)/256),256)/2^4),2)*16+MOD(INT(MOD(INT((AB6)/256),256)/2^5),2)*MOD(INT(MOD(INT((X6)/256),256)/2^5),2)*32+MOD(INT(MOD(INT((AB6)/256),256)/2^6),2)*MOD(INT(MOD(INT((X6)/256),256)/2^6),2)*64+MOD(INT(MOD(INT((AB6)/256),256)/2^7),2)*MOD(INT(MOD(INT((X6)/256),256)/2^7),2)*128)*256+(MOD(INT(MOD(INT((AB6)/65536),256)/2^0),2)*MOD(INT(MOD(INT((X6)/65536),256)/2^0),2)*1+MOD(INT(MOD(INT((AB6)/65536),256)/2^1),2)*MOD(INT(MOD(INT((X6)/65536),256)/2^1),2)*2+MOD(INT(MOD(INT((AB6)/65536),256)/2^2),2)*MOD(INT(MOD(INT((X6)/65536),256)/2^2),2)*4+MOD(INT(MOD(INT((AB6)/65536),256)/2^3),2)*MOD(INT(MOD(INT((X6)/65536),256)/2^3),2)*8+MOD(INT(MOD(INT((AB6)/65536),256)/2^4),2)*MOD(INT(MOD(INT((X6)/65536),256)/2^4),2)*16+MOD(INT(MOD(INT((AB6)/65536),256)/2^5),2)*MOD(INT(MOD(INT((X6)/65536),256)/2^5),2)*32+MOD(INT(MOD(INT((AB6)/65536),256)/2^6),2)*MOD(INT(MOD(INT((X6)/65536),256)/2^6),2)*64+MOD(INT(MOD(INT((AB6)/65536),256)/2^7),2)*MOD(INT(MOD(INT((X6)/65536),256)/2^7),2)*128)*65536+(MOD(INT(MOD(INT((AB6)/16777216),256)/2^0),2)*MOD(INT(MOD(INT((X6)/16777216),256)/2^0),2)*1+MOD(INT(MOD(INT((AB6)/16777216),256)/2^1),2)*MOD(INT(MOD(INT((X6)/16777216),256)/2^1),2)*2+MOD(INT(MOD(INT((AB6)/16777216),256)/2^2),2)*MOD(INT(MOD(INT((X6)/16777216),256)/2^2),2)*4+MOD(INT(MOD(INT((AB6)/16777216),256)/2^3),2)*MOD(INT(MOD(INT((X6)/16777216),256)/2^3),2)*8+MOD(INT(MOD(INT((AB6)/16777216),256)/2^4),2)*MOD(INT(MOD(INT((X6)/16777216),256)/2^4),2)*16+MOD(INT(MOD(INT((AB6)/16777216),256)/2^5),2)*MOD(INT(MOD(INT((X6)/16777216),256)/2^5),2)*32+MOD(INT(MOD(INT((AB6)/16777216),256)/2^6),2)*MOD(INT(MOD(INT((X6)/16777216),256)/2^6),2)*64+MOD(INT(MOD(INT((AB6)/16777216),256)/2^7),2)*MOD(INT(MOD(INT((X6)/16777216),256)/2^7),2)*128)*16777216)</f>
        <v>1210057761</v>
      </c>
      <c r="AE6" s="24">
        <f t="shared" ref="AE6:AE37" si="28">MOD(AA6+W6-2*AC6,4294967296)</f>
        <v>2485642043</v>
      </c>
      <c r="AF6" s="24">
        <f t="shared" ref="AF6:AF37" si="29">MOD(AB6+X6-2*AD6,4294967296)</f>
        <v>3049905098</v>
      </c>
      <c r="AG6" s="24">
        <f t="shared" ref="AG6:AG37" si="30">MOD(INT(C5/2^28)+MOD(D5,2^28)*2^4,4294967296)</f>
        <v>1003262086</v>
      </c>
      <c r="AH6" s="24">
        <f t="shared" ref="AH6:AH37" si="31">MOD(INT(D5/2^28)+MOD(C5,2^28)*2^4,4294967296)</f>
        <v>2694735487</v>
      </c>
      <c r="AI6" s="24">
        <f t="shared" ref="AI6:AI37" si="32">MOD(INT(D5/2^2)+MOD(C5,2^2)*2^30,4294967296)</f>
        <v>4243534402</v>
      </c>
      <c r="AJ6" s="24">
        <f t="shared" ref="AJ6:AJ37" si="33">MOD(INT(C5/2^2)+MOD(D5,2^2)*2^30,4294967296)</f>
        <v>444758425</v>
      </c>
      <c r="AK6" s="24">
        <f t="shared" ref="AK6:AK37" si="34">MOD(INT(D5/2^7)+MOD(C5,2^7)*2^25,4294967296)</f>
        <v>3488053650</v>
      </c>
      <c r="AL6" s="24">
        <f t="shared" ref="AL6:AL37" si="35">MOD(INT(C5/2^7)+MOD(D5,2^7)*2^25,4294967296)</f>
        <v>282334156</v>
      </c>
      <c r="AM6" s="24">
        <f t="shared" ref="AM6:AM37" si="36">((MOD(INT(MOD(INT((AG6)/1),256)/2^0),2)*MOD(INT(MOD(INT((AI6)/1),256)/2^0),2)*1+MOD(INT(MOD(INT((AG6)/1),256)/2^1),2)*MOD(INT(MOD(INT((AI6)/1),256)/2^1),2)*2+MOD(INT(MOD(INT((AG6)/1),256)/2^2),2)*MOD(INT(MOD(INT((AI6)/1),256)/2^2),2)*4+MOD(INT(MOD(INT((AG6)/1),256)/2^3),2)*MOD(INT(MOD(INT((AI6)/1),256)/2^3),2)*8+MOD(INT(MOD(INT((AG6)/1),256)/2^4),2)*MOD(INT(MOD(INT((AI6)/1),256)/2^4),2)*16+MOD(INT(MOD(INT((AG6)/1),256)/2^5),2)*MOD(INT(MOD(INT((AI6)/1),256)/2^5),2)*32+MOD(INT(MOD(INT((AG6)/1),256)/2^6),2)*MOD(INT(MOD(INT((AI6)/1),256)/2^6),2)*64+MOD(INT(MOD(INT((AG6)/1),256)/2^7),2)*MOD(INT(MOD(INT((AI6)/1),256)/2^7),2)*128)*1+(MOD(INT(MOD(INT((AG6)/256),256)/2^0),2)*MOD(INT(MOD(INT((AI6)/256),256)/2^0),2)*1+MOD(INT(MOD(INT((AG6)/256),256)/2^1),2)*MOD(INT(MOD(INT((AI6)/256),256)/2^1),2)*2+MOD(INT(MOD(INT((AG6)/256),256)/2^2),2)*MOD(INT(MOD(INT((AI6)/256),256)/2^2),2)*4+MOD(INT(MOD(INT((AG6)/256),256)/2^3),2)*MOD(INT(MOD(INT((AI6)/256),256)/2^3),2)*8+MOD(INT(MOD(INT((AG6)/256),256)/2^4),2)*MOD(INT(MOD(INT((AI6)/256),256)/2^4),2)*16+MOD(INT(MOD(INT((AG6)/256),256)/2^5),2)*MOD(INT(MOD(INT((AI6)/256),256)/2^5),2)*32+MOD(INT(MOD(INT((AG6)/256),256)/2^6),2)*MOD(INT(MOD(INT((AI6)/256),256)/2^6),2)*64+MOD(INT(MOD(INT((AG6)/256),256)/2^7),2)*MOD(INT(MOD(INT((AI6)/256),256)/2^7),2)*128)*256+(MOD(INT(MOD(INT((AG6)/65536),256)/2^0),2)*MOD(INT(MOD(INT((AI6)/65536),256)/2^0),2)*1+MOD(INT(MOD(INT((AG6)/65536),256)/2^1),2)*MOD(INT(MOD(INT((AI6)/65536),256)/2^1),2)*2+MOD(INT(MOD(INT((AG6)/65536),256)/2^2),2)*MOD(INT(MOD(INT((AI6)/65536),256)/2^2),2)*4+MOD(INT(MOD(INT((AG6)/65536),256)/2^3),2)*MOD(INT(MOD(INT((AI6)/65536),256)/2^3),2)*8+MOD(INT(MOD(INT((AG6)/65536),256)/2^4),2)*MOD(INT(MOD(INT((AI6)/65536),256)/2^4),2)*16+MOD(INT(MOD(INT((AG6)/65536),256)/2^5),2)*MOD(INT(MOD(INT((AI6)/65536),256)/2^5),2)*32+MOD(INT(MOD(INT((AG6)/65536),256)/2^6),2)*MOD(INT(MOD(INT((AI6)/65536),256)/2^6),2)*64+MOD(INT(MOD(INT((AG6)/65536),256)/2^7),2)*MOD(INT(MOD(INT((AI6)/65536),256)/2^7),2)*128)*65536+(MOD(INT(MOD(INT((AG6)/16777216),256)/2^0),2)*MOD(INT(MOD(INT((AI6)/16777216),256)/2^0),2)*1+MOD(INT(MOD(INT((AG6)/16777216),256)/2^1),2)*MOD(INT(MOD(INT((AI6)/16777216),256)/2^1),2)*2+MOD(INT(MOD(INT((AG6)/16777216),256)/2^2),2)*MOD(INT(MOD(INT((AI6)/16777216),256)/2^2),2)*4+MOD(INT(MOD(INT((AG6)/16777216),256)/2^3),2)*MOD(INT(MOD(INT((AI6)/16777216),256)/2^3),2)*8+MOD(INT(MOD(INT((AG6)/16777216),256)/2^4),2)*MOD(INT(MOD(INT((AI6)/16777216),256)/2^4),2)*16+MOD(INT(MOD(INT((AG6)/16777216),256)/2^5),2)*MOD(INT(MOD(INT((AI6)/16777216),256)/2^5),2)*32+MOD(INT(MOD(INT((AG6)/16777216),256)/2^6),2)*MOD(INT(MOD(INT((AI6)/16777216),256)/2^6),2)*64+MOD(INT(MOD(INT((AG6)/16777216),256)/2^7),2)*MOD(INT(MOD(INT((AI6)/16777216),256)/2^7),2)*128)*16777216)</f>
        <v>952897538</v>
      </c>
      <c r="AN6" s="24">
        <f t="shared" ref="AN6:AN37" si="37">((MOD(INT(MOD(INT((AH6)/1),256)/2^0),2)*MOD(INT(MOD(INT((AJ6)/1),256)/2^0),2)*1+MOD(INT(MOD(INT((AH6)/1),256)/2^1),2)*MOD(INT(MOD(INT((AJ6)/1),256)/2^1),2)*2+MOD(INT(MOD(INT((AH6)/1),256)/2^2),2)*MOD(INT(MOD(INT((AJ6)/1),256)/2^2),2)*4+MOD(INT(MOD(INT((AH6)/1),256)/2^3),2)*MOD(INT(MOD(INT((AJ6)/1),256)/2^3),2)*8+MOD(INT(MOD(INT((AH6)/1),256)/2^4),2)*MOD(INT(MOD(INT((AJ6)/1),256)/2^4),2)*16+MOD(INT(MOD(INT((AH6)/1),256)/2^5),2)*MOD(INT(MOD(INT((AJ6)/1),256)/2^5),2)*32+MOD(INT(MOD(INT((AH6)/1),256)/2^6),2)*MOD(INT(MOD(INT((AJ6)/1),256)/2^6),2)*64+MOD(INT(MOD(INT((AH6)/1),256)/2^7),2)*MOD(INT(MOD(INT((AJ6)/1),256)/2^7),2)*128)*1+(MOD(INT(MOD(INT((AH6)/256),256)/2^0),2)*MOD(INT(MOD(INT((AJ6)/256),256)/2^0),2)*1+MOD(INT(MOD(INT((AH6)/256),256)/2^1),2)*MOD(INT(MOD(INT((AJ6)/256),256)/2^1),2)*2+MOD(INT(MOD(INT((AH6)/256),256)/2^2),2)*MOD(INT(MOD(INT((AJ6)/256),256)/2^2),2)*4+MOD(INT(MOD(INT((AH6)/256),256)/2^3),2)*MOD(INT(MOD(INT((AJ6)/256),256)/2^3),2)*8+MOD(INT(MOD(INT((AH6)/256),256)/2^4),2)*MOD(INT(MOD(INT((AJ6)/256),256)/2^4),2)*16+MOD(INT(MOD(INT((AH6)/256),256)/2^5),2)*MOD(INT(MOD(INT((AJ6)/256),256)/2^5),2)*32+MOD(INT(MOD(INT((AH6)/256),256)/2^6),2)*MOD(INT(MOD(INT((AJ6)/256),256)/2^6),2)*64+MOD(INT(MOD(INT((AH6)/256),256)/2^7),2)*MOD(INT(MOD(INT((AJ6)/256),256)/2^7),2)*128)*256+(MOD(INT(MOD(INT((AH6)/65536),256)/2^0),2)*MOD(INT(MOD(INT((AJ6)/65536),256)/2^0),2)*1+MOD(INT(MOD(INT((AH6)/65536),256)/2^1),2)*MOD(INT(MOD(INT((AJ6)/65536),256)/2^1),2)*2+MOD(INT(MOD(INT((AH6)/65536),256)/2^2),2)*MOD(INT(MOD(INT((AJ6)/65536),256)/2^2),2)*4+MOD(INT(MOD(INT((AH6)/65536),256)/2^3),2)*MOD(INT(MOD(INT((AJ6)/65536),256)/2^3),2)*8+MOD(INT(MOD(INT((AH6)/65536),256)/2^4),2)*MOD(INT(MOD(INT((AJ6)/65536),256)/2^4),2)*16+MOD(INT(MOD(INT((AH6)/65536),256)/2^5),2)*MOD(INT(MOD(INT((AJ6)/65536),256)/2^5),2)*32+MOD(INT(MOD(INT((AH6)/65536),256)/2^6),2)*MOD(INT(MOD(INT((AJ6)/65536),256)/2^6),2)*64+MOD(INT(MOD(INT((AH6)/65536),256)/2^7),2)*MOD(INT(MOD(INT((AJ6)/65536),256)/2^7),2)*128)*65536+(MOD(INT(MOD(INT((AH6)/16777216),256)/2^0),2)*MOD(INT(MOD(INT((AJ6)/16777216),256)/2^0),2)*1+MOD(INT(MOD(INT((AH6)/16777216),256)/2^1),2)*MOD(INT(MOD(INT((AJ6)/16777216),256)/2^1),2)*2+MOD(INT(MOD(INT((AH6)/16777216),256)/2^2),2)*MOD(INT(MOD(INT((AJ6)/16777216),256)/2^2),2)*4+MOD(INT(MOD(INT((AH6)/16777216),256)/2^3),2)*MOD(INT(MOD(INT((AJ6)/16777216),256)/2^3),2)*8+MOD(INT(MOD(INT((AH6)/16777216),256)/2^4),2)*MOD(INT(MOD(INT((AJ6)/16777216),256)/2^4),2)*16+MOD(INT(MOD(INT((AH6)/16777216),256)/2^5),2)*MOD(INT(MOD(INT((AJ6)/16777216),256)/2^5),2)*32+MOD(INT(MOD(INT((AH6)/16777216),256)/2^6),2)*MOD(INT(MOD(INT((AJ6)/16777216),256)/2^6),2)*64+MOD(INT(MOD(INT((AH6)/16777216),256)/2^7),2)*MOD(INT(MOD(INT((AJ6)/16777216),256)/2^7),2)*128)*16777216)</f>
        <v>8544281</v>
      </c>
      <c r="AO6" s="24">
        <f t="shared" ref="AO6:AO37" si="38">MOD(AG6+AI6-2*AM6,4294967296)</f>
        <v>3341001412</v>
      </c>
      <c r="AP6" s="24">
        <f t="shared" ref="AP6:AP37" si="39">MOD(AH6+AJ6-2*AN6,4294967296)</f>
        <v>3122405350</v>
      </c>
      <c r="AQ6" s="24">
        <f t="shared" ref="AQ6:AQ37" si="40">((MOD(INT(MOD(INT((AO6)/1),256)/2^0),2)*MOD(INT(MOD(INT((AK6)/1),256)/2^0),2)*1+MOD(INT(MOD(INT((AO6)/1),256)/2^1),2)*MOD(INT(MOD(INT((AK6)/1),256)/2^1),2)*2+MOD(INT(MOD(INT((AO6)/1),256)/2^2),2)*MOD(INT(MOD(INT((AK6)/1),256)/2^2),2)*4+MOD(INT(MOD(INT((AO6)/1),256)/2^3),2)*MOD(INT(MOD(INT((AK6)/1),256)/2^3),2)*8+MOD(INT(MOD(INT((AO6)/1),256)/2^4),2)*MOD(INT(MOD(INT((AK6)/1),256)/2^4),2)*16+MOD(INT(MOD(INT((AO6)/1),256)/2^5),2)*MOD(INT(MOD(INT((AK6)/1),256)/2^5),2)*32+MOD(INT(MOD(INT((AO6)/1),256)/2^6),2)*MOD(INT(MOD(INT((AK6)/1),256)/2^6),2)*64+MOD(INT(MOD(INT((AO6)/1),256)/2^7),2)*MOD(INT(MOD(INT((AK6)/1),256)/2^7),2)*128)*1+(MOD(INT(MOD(INT((AO6)/256),256)/2^0),2)*MOD(INT(MOD(INT((AK6)/256),256)/2^0),2)*1+MOD(INT(MOD(INT((AO6)/256),256)/2^1),2)*MOD(INT(MOD(INT((AK6)/256),256)/2^1),2)*2+MOD(INT(MOD(INT((AO6)/256),256)/2^2),2)*MOD(INT(MOD(INT((AK6)/256),256)/2^2),2)*4+MOD(INT(MOD(INT((AO6)/256),256)/2^3),2)*MOD(INT(MOD(INT((AK6)/256),256)/2^3),2)*8+MOD(INT(MOD(INT((AO6)/256),256)/2^4),2)*MOD(INT(MOD(INT((AK6)/256),256)/2^4),2)*16+MOD(INT(MOD(INT((AO6)/256),256)/2^5),2)*MOD(INT(MOD(INT((AK6)/256),256)/2^5),2)*32+MOD(INT(MOD(INT((AO6)/256),256)/2^6),2)*MOD(INT(MOD(INT((AK6)/256),256)/2^6),2)*64+MOD(INT(MOD(INT((AO6)/256),256)/2^7),2)*MOD(INT(MOD(INT((AK6)/256),256)/2^7),2)*128)*256+(MOD(INT(MOD(INT((AO6)/65536),256)/2^0),2)*MOD(INT(MOD(INT((AK6)/65536),256)/2^0),2)*1+MOD(INT(MOD(INT((AO6)/65536),256)/2^1),2)*MOD(INT(MOD(INT((AK6)/65536),256)/2^1),2)*2+MOD(INT(MOD(INT((AO6)/65536),256)/2^2),2)*MOD(INT(MOD(INT((AK6)/65536),256)/2^2),2)*4+MOD(INT(MOD(INT((AO6)/65536),256)/2^3),2)*MOD(INT(MOD(INT((AK6)/65536),256)/2^3),2)*8+MOD(INT(MOD(INT((AO6)/65536),256)/2^4),2)*MOD(INT(MOD(INT((AK6)/65536),256)/2^4),2)*16+MOD(INT(MOD(INT((AO6)/65536),256)/2^5),2)*MOD(INT(MOD(INT((AK6)/65536),256)/2^5),2)*32+MOD(INT(MOD(INT((AO6)/65536),256)/2^6),2)*MOD(INT(MOD(INT((AK6)/65536),256)/2^6),2)*64+MOD(INT(MOD(INT((AO6)/65536),256)/2^7),2)*MOD(INT(MOD(INT((AK6)/65536),256)/2^7),2)*128)*65536+(MOD(INT(MOD(INT((AO6)/16777216),256)/2^0),2)*MOD(INT(MOD(INT((AK6)/16777216),256)/2^0),2)*1+MOD(INT(MOD(INT((AO6)/16777216),256)/2^1),2)*MOD(INT(MOD(INT((AK6)/16777216),256)/2^1),2)*2+MOD(INT(MOD(INT((AO6)/16777216),256)/2^2),2)*MOD(INT(MOD(INT((AK6)/16777216),256)/2^2),2)*4+MOD(INT(MOD(INT((AO6)/16777216),256)/2^3),2)*MOD(INT(MOD(INT((AK6)/16777216),256)/2^3),2)*8+MOD(INT(MOD(INT((AO6)/16777216),256)/2^4),2)*MOD(INT(MOD(INT((AK6)/16777216),256)/2^4),2)*16+MOD(INT(MOD(INT((AO6)/16777216),256)/2^5),2)*MOD(INT(MOD(INT((AK6)/16777216),256)/2^5),2)*32+MOD(INT(MOD(INT((AO6)/16777216),256)/2^6),2)*MOD(INT(MOD(INT((AK6)/16777216),256)/2^6),2)*64+MOD(INT(MOD(INT((AO6)/16777216),256)/2^7),2)*MOD(INT(MOD(INT((AK6)/16777216),256)/2^7),2)*128)*16777216)</f>
        <v>3340968064</v>
      </c>
      <c r="AR6" s="24">
        <f t="shared" ref="AR6:AR37" si="41">((MOD(INT(MOD(INT((AP6)/1),256)/2^0),2)*MOD(INT(MOD(INT((AL6)/1),256)/2^0),2)*1+MOD(INT(MOD(INT((AP6)/1),256)/2^1),2)*MOD(INT(MOD(INT((AL6)/1),256)/2^1),2)*2+MOD(INT(MOD(INT((AP6)/1),256)/2^2),2)*MOD(INT(MOD(INT((AL6)/1),256)/2^2),2)*4+MOD(INT(MOD(INT((AP6)/1),256)/2^3),2)*MOD(INT(MOD(INT((AL6)/1),256)/2^3),2)*8+MOD(INT(MOD(INT((AP6)/1),256)/2^4),2)*MOD(INT(MOD(INT((AL6)/1),256)/2^4),2)*16+MOD(INT(MOD(INT((AP6)/1),256)/2^5),2)*MOD(INT(MOD(INT((AL6)/1),256)/2^5),2)*32+MOD(INT(MOD(INT((AP6)/1),256)/2^6),2)*MOD(INT(MOD(INT((AL6)/1),256)/2^6),2)*64+MOD(INT(MOD(INT((AP6)/1),256)/2^7),2)*MOD(INT(MOD(INT((AL6)/1),256)/2^7),2)*128)*1+(MOD(INT(MOD(INT((AP6)/256),256)/2^0),2)*MOD(INT(MOD(INT((AL6)/256),256)/2^0),2)*1+MOD(INT(MOD(INT((AP6)/256),256)/2^1),2)*MOD(INT(MOD(INT((AL6)/256),256)/2^1),2)*2+MOD(INT(MOD(INT((AP6)/256),256)/2^2),2)*MOD(INT(MOD(INT((AL6)/256),256)/2^2),2)*4+MOD(INT(MOD(INT((AP6)/256),256)/2^3),2)*MOD(INT(MOD(INT((AL6)/256),256)/2^3),2)*8+MOD(INT(MOD(INT((AP6)/256),256)/2^4),2)*MOD(INT(MOD(INT((AL6)/256),256)/2^4),2)*16+MOD(INT(MOD(INT((AP6)/256),256)/2^5),2)*MOD(INT(MOD(INT((AL6)/256),256)/2^5),2)*32+MOD(INT(MOD(INT((AP6)/256),256)/2^6),2)*MOD(INT(MOD(INT((AL6)/256),256)/2^6),2)*64+MOD(INT(MOD(INT((AP6)/256),256)/2^7),2)*MOD(INT(MOD(INT((AL6)/256),256)/2^7),2)*128)*256+(MOD(INT(MOD(INT((AP6)/65536),256)/2^0),2)*MOD(INT(MOD(INT((AL6)/65536),256)/2^0),2)*1+MOD(INT(MOD(INT((AP6)/65536),256)/2^1),2)*MOD(INT(MOD(INT((AL6)/65536),256)/2^1),2)*2+MOD(INT(MOD(INT((AP6)/65536),256)/2^2),2)*MOD(INT(MOD(INT((AL6)/65536),256)/2^2),2)*4+MOD(INT(MOD(INT((AP6)/65536),256)/2^3),2)*MOD(INT(MOD(INT((AL6)/65536),256)/2^3),2)*8+MOD(INT(MOD(INT((AP6)/65536),256)/2^4),2)*MOD(INT(MOD(INT((AL6)/65536),256)/2^4),2)*16+MOD(INT(MOD(INT((AP6)/65536),256)/2^5),2)*MOD(INT(MOD(INT((AL6)/65536),256)/2^5),2)*32+MOD(INT(MOD(INT((AP6)/65536),256)/2^6),2)*MOD(INT(MOD(INT((AL6)/65536),256)/2^6),2)*64+MOD(INT(MOD(INT((AP6)/65536),256)/2^7),2)*MOD(INT(MOD(INT((AL6)/65536),256)/2^7),2)*128)*65536+(MOD(INT(MOD(INT((AP6)/16777216),256)/2^0),2)*MOD(INT(MOD(INT((AL6)/16777216),256)/2^0),2)*1+MOD(INT(MOD(INT((AP6)/16777216),256)/2^1),2)*MOD(INT(MOD(INT((AL6)/16777216),256)/2^1),2)*2+MOD(INT(MOD(INT((AP6)/16777216),256)/2^2),2)*MOD(INT(MOD(INT((AL6)/16777216),256)/2^2),2)*4+MOD(INT(MOD(INT((AP6)/16777216),256)/2^3),2)*MOD(INT(MOD(INT((AL6)/16777216),256)/2^3),2)*8+MOD(INT(MOD(INT((AP6)/16777216),256)/2^4),2)*MOD(INT(MOD(INT((AL6)/16777216),256)/2^4),2)*16+MOD(INT(MOD(INT((AP6)/16777216),256)/2^5),2)*MOD(INT(MOD(INT((AL6)/16777216),256)/2^5),2)*32+MOD(INT(MOD(INT((AP6)/16777216),256)/2^6),2)*MOD(INT(MOD(INT((AL6)/16777216),256)/2^6),2)*64+MOD(INT(MOD(INT((AP6)/16777216),256)/2^7),2)*MOD(INT(MOD(INT((AL6)/16777216),256)/2^7),2)*128)*16777216)</f>
        <v>269751236</v>
      </c>
      <c r="AS6" s="24">
        <f t="shared" ref="AS6:AS37" si="42">MOD(AO6+AK6-2*AQ6,4294967296)</f>
        <v>147118934</v>
      </c>
      <c r="AT6" s="24">
        <f t="shared" ref="AT6:AT37" si="43">MOD(AP6+AL6-2*AR6,4294967296)</f>
        <v>2865237034</v>
      </c>
      <c r="AU6" s="24">
        <f t="shared" ref="AU6:AU37" si="44">((MOD(INT(MOD(INT((K5)/1),256)/2^0),2)*MOD(INT(MOD(INT((M5)/1),256)/2^0),2)*1+MOD(INT(MOD(INT((K5)/1),256)/2^1),2)*MOD(INT(MOD(INT((M5)/1),256)/2^1),2)*2+MOD(INT(MOD(INT((K5)/1),256)/2^2),2)*MOD(INT(MOD(INT((M5)/1),256)/2^2),2)*4+MOD(INT(MOD(INT((K5)/1),256)/2^3),2)*MOD(INT(MOD(INT((M5)/1),256)/2^3),2)*8+MOD(INT(MOD(INT((K5)/1),256)/2^4),2)*MOD(INT(MOD(INT((M5)/1),256)/2^4),2)*16+MOD(INT(MOD(INT((K5)/1),256)/2^5),2)*MOD(INT(MOD(INT((M5)/1),256)/2^5),2)*32+MOD(INT(MOD(INT((K5)/1),256)/2^6),2)*MOD(INT(MOD(INT((M5)/1),256)/2^6),2)*64+MOD(INT(MOD(INT((K5)/1),256)/2^7),2)*MOD(INT(MOD(INT((M5)/1),256)/2^7),2)*128)*1+(MOD(INT(MOD(INT((K5)/256),256)/2^0),2)*MOD(INT(MOD(INT((M5)/256),256)/2^0),2)*1+MOD(INT(MOD(INT((K5)/256),256)/2^1),2)*MOD(INT(MOD(INT((M5)/256),256)/2^1),2)*2+MOD(INT(MOD(INT((K5)/256),256)/2^2),2)*MOD(INT(MOD(INT((M5)/256),256)/2^2),2)*4+MOD(INT(MOD(INT((K5)/256),256)/2^3),2)*MOD(INT(MOD(INT((M5)/256),256)/2^3),2)*8+MOD(INT(MOD(INT((K5)/256),256)/2^4),2)*MOD(INT(MOD(INT((M5)/256),256)/2^4),2)*16+MOD(INT(MOD(INT((K5)/256),256)/2^5),2)*MOD(INT(MOD(INT((M5)/256),256)/2^5),2)*32+MOD(INT(MOD(INT((K5)/256),256)/2^6),2)*MOD(INT(MOD(INT((M5)/256),256)/2^6),2)*64+MOD(INT(MOD(INT((K5)/256),256)/2^7),2)*MOD(INT(MOD(INT((M5)/256),256)/2^7),2)*128)*256+(MOD(INT(MOD(INT((K5)/65536),256)/2^0),2)*MOD(INT(MOD(INT((M5)/65536),256)/2^0),2)*1+MOD(INT(MOD(INT((K5)/65536),256)/2^1),2)*MOD(INT(MOD(INT((M5)/65536),256)/2^1),2)*2+MOD(INT(MOD(INT((K5)/65536),256)/2^2),2)*MOD(INT(MOD(INT((M5)/65536),256)/2^2),2)*4+MOD(INT(MOD(INT((K5)/65536),256)/2^3),2)*MOD(INT(MOD(INT((M5)/65536),256)/2^3),2)*8+MOD(INT(MOD(INT((K5)/65536),256)/2^4),2)*MOD(INT(MOD(INT((M5)/65536),256)/2^4),2)*16+MOD(INT(MOD(INT((K5)/65536),256)/2^5),2)*MOD(INT(MOD(INT((M5)/65536),256)/2^5),2)*32+MOD(INT(MOD(INT((K5)/65536),256)/2^6),2)*MOD(INT(MOD(INT((M5)/65536),256)/2^6),2)*64+MOD(INT(MOD(INT((K5)/65536),256)/2^7),2)*MOD(INT(MOD(INT((M5)/65536),256)/2^7),2)*128)*65536+(MOD(INT(MOD(INT((K5)/16777216),256)/2^0),2)*MOD(INT(MOD(INT((M5)/16777216),256)/2^0),2)*1+MOD(INT(MOD(INT((K5)/16777216),256)/2^1),2)*MOD(INT(MOD(INT((M5)/16777216),256)/2^1),2)*2+MOD(INT(MOD(INT((K5)/16777216),256)/2^2),2)*MOD(INT(MOD(INT((M5)/16777216),256)/2^2),2)*4+MOD(INT(MOD(INT((K5)/16777216),256)/2^3),2)*MOD(INT(MOD(INT((M5)/16777216),256)/2^3),2)*8+MOD(INT(MOD(INT((K5)/16777216),256)/2^4),2)*MOD(INT(MOD(INT((M5)/16777216),256)/2^4),2)*16+MOD(INT(MOD(INT((K5)/16777216),256)/2^5),2)*MOD(INT(MOD(INT((M5)/16777216),256)/2^5),2)*32+MOD(INT(MOD(INT((K5)/16777216),256)/2^6),2)*MOD(INT(MOD(INT((M5)/16777216),256)/2^6),2)*64+MOD(INT(MOD(INT((K5)/16777216),256)/2^7),2)*MOD(INT(MOD(INT((M5)/16777216),256)/2^7),2)*128)*16777216)</f>
        <v>285491212</v>
      </c>
      <c r="AV6" s="24">
        <f t="shared" ref="AV6:AV37" si="45">((MOD(INT(MOD(INT((L5)/1),256)/2^0),2)*MOD(INT(MOD(INT((N5)/1),256)/2^0),2)*1+MOD(INT(MOD(INT((L5)/1),256)/2^1),2)*MOD(INT(MOD(INT((N5)/1),256)/2^1),2)*2+MOD(INT(MOD(INT((L5)/1),256)/2^2),2)*MOD(INT(MOD(INT((N5)/1),256)/2^2),2)*4+MOD(INT(MOD(INT((L5)/1),256)/2^3),2)*MOD(INT(MOD(INT((N5)/1),256)/2^3),2)*8+MOD(INT(MOD(INT((L5)/1),256)/2^4),2)*MOD(INT(MOD(INT((N5)/1),256)/2^4),2)*16+MOD(INT(MOD(INT((L5)/1),256)/2^5),2)*MOD(INT(MOD(INT((N5)/1),256)/2^5),2)*32+MOD(INT(MOD(INT((L5)/1),256)/2^6),2)*MOD(INT(MOD(INT((N5)/1),256)/2^6),2)*64+MOD(INT(MOD(INT((L5)/1),256)/2^7),2)*MOD(INT(MOD(INT((N5)/1),256)/2^7),2)*128)*1+(MOD(INT(MOD(INT((L5)/256),256)/2^0),2)*MOD(INT(MOD(INT((N5)/256),256)/2^0),2)*1+MOD(INT(MOD(INT((L5)/256),256)/2^1),2)*MOD(INT(MOD(INT((N5)/256),256)/2^1),2)*2+MOD(INT(MOD(INT((L5)/256),256)/2^2),2)*MOD(INT(MOD(INT((N5)/256),256)/2^2),2)*4+MOD(INT(MOD(INT((L5)/256),256)/2^3),2)*MOD(INT(MOD(INT((N5)/256),256)/2^3),2)*8+MOD(INT(MOD(INT((L5)/256),256)/2^4),2)*MOD(INT(MOD(INT((N5)/256),256)/2^4),2)*16+MOD(INT(MOD(INT((L5)/256),256)/2^5),2)*MOD(INT(MOD(INT((N5)/256),256)/2^5),2)*32+MOD(INT(MOD(INT((L5)/256),256)/2^6),2)*MOD(INT(MOD(INT((N5)/256),256)/2^6),2)*64+MOD(INT(MOD(INT((L5)/256),256)/2^7),2)*MOD(INT(MOD(INT((N5)/256),256)/2^7),2)*128)*256+(MOD(INT(MOD(INT((L5)/65536),256)/2^0),2)*MOD(INT(MOD(INT((N5)/65536),256)/2^0),2)*1+MOD(INT(MOD(INT((L5)/65536),256)/2^1),2)*MOD(INT(MOD(INT((N5)/65536),256)/2^1),2)*2+MOD(INT(MOD(INT((L5)/65536),256)/2^2),2)*MOD(INT(MOD(INT((N5)/65536),256)/2^2),2)*4+MOD(INT(MOD(INT((L5)/65536),256)/2^3),2)*MOD(INT(MOD(INT((N5)/65536),256)/2^3),2)*8+MOD(INT(MOD(INT((L5)/65536),256)/2^4),2)*MOD(INT(MOD(INT((N5)/65536),256)/2^4),2)*16+MOD(INT(MOD(INT((L5)/65536),256)/2^5),2)*MOD(INT(MOD(INT((N5)/65536),256)/2^5),2)*32+MOD(INT(MOD(INT((L5)/65536),256)/2^6),2)*MOD(INT(MOD(INT((N5)/65536),256)/2^6),2)*64+MOD(INT(MOD(INT((L5)/65536),256)/2^7),2)*MOD(INT(MOD(INT((N5)/65536),256)/2^7),2)*128)*65536+(MOD(INT(MOD(INT((L5)/16777216),256)/2^0),2)*MOD(INT(MOD(INT((N5)/16777216),256)/2^0),2)*1+MOD(INT(MOD(INT((L5)/16777216),256)/2^1),2)*MOD(INT(MOD(INT((N5)/16777216),256)/2^1),2)*2+MOD(INT(MOD(INT((L5)/16777216),256)/2^2),2)*MOD(INT(MOD(INT((N5)/16777216),256)/2^2),2)*4+MOD(INT(MOD(INT((L5)/16777216),256)/2^3),2)*MOD(INT(MOD(INT((N5)/16777216),256)/2^3),2)*8+MOD(INT(MOD(INT((L5)/16777216),256)/2^4),2)*MOD(INT(MOD(INT((N5)/16777216),256)/2^4),2)*16+MOD(INT(MOD(INT((L5)/16777216),256)/2^5),2)*MOD(INT(MOD(INT((N5)/16777216),256)/2^5),2)*32+MOD(INT(MOD(INT((L5)/16777216),256)/2^6),2)*MOD(INT(MOD(INT((N5)/16777216),256)/2^6),2)*64+MOD(INT(MOD(INT((L5)/16777216),256)/2^7),2)*MOD(INT(MOD(INT((N5)/16777216),256)/2^7),2)*128)*16777216)</f>
        <v>690356241</v>
      </c>
      <c r="AW6" s="24">
        <f t="shared" ref="AW6:AW37" si="46">((MOD(INT(MOD(INT(((4294967295-K5))/1),256)/2^0),2)*MOD(INT(MOD(INT((O5)/1),256)/2^0),2)*1+MOD(INT(MOD(INT(((4294967295-K5))/1),256)/2^1),2)*MOD(INT(MOD(INT((O5)/1),256)/2^1),2)*2+MOD(INT(MOD(INT(((4294967295-K5))/1),256)/2^2),2)*MOD(INT(MOD(INT((O5)/1),256)/2^2),2)*4+MOD(INT(MOD(INT(((4294967295-K5))/1),256)/2^3),2)*MOD(INT(MOD(INT((O5)/1),256)/2^3),2)*8+MOD(INT(MOD(INT(((4294967295-K5))/1),256)/2^4),2)*MOD(INT(MOD(INT((O5)/1),256)/2^4),2)*16+MOD(INT(MOD(INT(((4294967295-K5))/1),256)/2^5),2)*MOD(INT(MOD(INT((O5)/1),256)/2^5),2)*32+MOD(INT(MOD(INT(((4294967295-K5))/1),256)/2^6),2)*MOD(INT(MOD(INT((O5)/1),256)/2^6),2)*64+MOD(INT(MOD(INT(((4294967295-K5))/1),256)/2^7),2)*MOD(INT(MOD(INT((O5)/1),256)/2^7),2)*128)*1+(MOD(INT(MOD(INT(((4294967295-K5))/256),256)/2^0),2)*MOD(INT(MOD(INT((O5)/256),256)/2^0),2)*1+MOD(INT(MOD(INT(((4294967295-K5))/256),256)/2^1),2)*MOD(INT(MOD(INT((O5)/256),256)/2^1),2)*2+MOD(INT(MOD(INT(((4294967295-K5))/256),256)/2^2),2)*MOD(INT(MOD(INT((O5)/256),256)/2^2),2)*4+MOD(INT(MOD(INT(((4294967295-K5))/256),256)/2^3),2)*MOD(INT(MOD(INT((O5)/256),256)/2^3),2)*8+MOD(INT(MOD(INT(((4294967295-K5))/256),256)/2^4),2)*MOD(INT(MOD(INT((O5)/256),256)/2^4),2)*16+MOD(INT(MOD(INT(((4294967295-K5))/256),256)/2^5),2)*MOD(INT(MOD(INT((O5)/256),256)/2^5),2)*32+MOD(INT(MOD(INT(((4294967295-K5))/256),256)/2^6),2)*MOD(INT(MOD(INT((O5)/256),256)/2^6),2)*64+MOD(INT(MOD(INT(((4294967295-K5))/256),256)/2^7),2)*MOD(INT(MOD(INT((O5)/256),256)/2^7),2)*128)*256+(MOD(INT(MOD(INT(((4294967295-K5))/65536),256)/2^0),2)*MOD(INT(MOD(INT((O5)/65536),256)/2^0),2)*1+MOD(INT(MOD(INT(((4294967295-K5))/65536),256)/2^1),2)*MOD(INT(MOD(INT((O5)/65536),256)/2^1),2)*2+MOD(INT(MOD(INT(((4294967295-K5))/65536),256)/2^2),2)*MOD(INT(MOD(INT((O5)/65536),256)/2^2),2)*4+MOD(INT(MOD(INT(((4294967295-K5))/65536),256)/2^3),2)*MOD(INT(MOD(INT((O5)/65536),256)/2^3),2)*8+MOD(INT(MOD(INT(((4294967295-K5))/65536),256)/2^4),2)*MOD(INT(MOD(INT((O5)/65536),256)/2^4),2)*16+MOD(INT(MOD(INT(((4294967295-K5))/65536),256)/2^5),2)*MOD(INT(MOD(INT((O5)/65536),256)/2^5),2)*32+MOD(INT(MOD(INT(((4294967295-K5))/65536),256)/2^6),2)*MOD(INT(MOD(INT((O5)/65536),256)/2^6),2)*64+MOD(INT(MOD(INT(((4294967295-K5))/65536),256)/2^7),2)*MOD(INT(MOD(INT((O5)/65536),256)/2^7),2)*128)*65536+(MOD(INT(MOD(INT(((4294967295-K5))/16777216),256)/2^0),2)*MOD(INT(MOD(INT((O5)/16777216),256)/2^0),2)*1+MOD(INT(MOD(INT(((4294967295-K5))/16777216),256)/2^1),2)*MOD(INT(MOD(INT((O5)/16777216),256)/2^1),2)*2+MOD(INT(MOD(INT(((4294967295-K5))/16777216),256)/2^2),2)*MOD(INT(MOD(INT((O5)/16777216),256)/2^2),2)*4+MOD(INT(MOD(INT(((4294967295-K5))/16777216),256)/2^3),2)*MOD(INT(MOD(INT((O5)/16777216),256)/2^3),2)*8+MOD(INT(MOD(INT(((4294967295-K5))/16777216),256)/2^4),2)*MOD(INT(MOD(INT((O5)/16777216),256)/2^4),2)*16+MOD(INT(MOD(INT(((4294967295-K5))/16777216),256)/2^5),2)*MOD(INT(MOD(INT((O5)/16777216),256)/2^5),2)*32+MOD(INT(MOD(INT(((4294967295-K5))/16777216),256)/2^6),2)*MOD(INT(MOD(INT((O5)/16777216),256)/2^6),2)*64+MOD(INT(MOD(INT(((4294967295-K5))/16777216),256)/2^7),2)*MOD(INT(MOD(INT((O5)/16777216),256)/2^7),2)*128)*16777216)</f>
        <v>243370368</v>
      </c>
      <c r="AX6" s="24">
        <f t="shared" ref="AX6:AX37" si="47">((MOD(INT(MOD(INT(((4294967295-L5))/1),256)/2^0),2)*MOD(INT(MOD(INT((P5)/1),256)/2^0),2)*1+MOD(INT(MOD(INT(((4294967295-L5))/1),256)/2^1),2)*MOD(INT(MOD(INT((P5)/1),256)/2^1),2)*2+MOD(INT(MOD(INT(((4294967295-L5))/1),256)/2^2),2)*MOD(INT(MOD(INT((P5)/1),256)/2^2),2)*4+MOD(INT(MOD(INT(((4294967295-L5))/1),256)/2^3),2)*MOD(INT(MOD(INT((P5)/1),256)/2^3),2)*8+MOD(INT(MOD(INT(((4294967295-L5))/1),256)/2^4),2)*MOD(INT(MOD(INT((P5)/1),256)/2^4),2)*16+MOD(INT(MOD(INT(((4294967295-L5))/1),256)/2^5),2)*MOD(INT(MOD(INT((P5)/1),256)/2^5),2)*32+MOD(INT(MOD(INT(((4294967295-L5))/1),256)/2^6),2)*MOD(INT(MOD(INT((P5)/1),256)/2^6),2)*64+MOD(INT(MOD(INT(((4294967295-L5))/1),256)/2^7),2)*MOD(INT(MOD(INT((P5)/1),256)/2^7),2)*128)*1+(MOD(INT(MOD(INT(((4294967295-L5))/256),256)/2^0),2)*MOD(INT(MOD(INT((P5)/256),256)/2^0),2)*1+MOD(INT(MOD(INT(((4294967295-L5))/256),256)/2^1),2)*MOD(INT(MOD(INT((P5)/256),256)/2^1),2)*2+MOD(INT(MOD(INT(((4294967295-L5))/256),256)/2^2),2)*MOD(INT(MOD(INT((P5)/256),256)/2^2),2)*4+MOD(INT(MOD(INT(((4294967295-L5))/256),256)/2^3),2)*MOD(INT(MOD(INT((P5)/256),256)/2^3),2)*8+MOD(INT(MOD(INT(((4294967295-L5))/256),256)/2^4),2)*MOD(INT(MOD(INT((P5)/256),256)/2^4),2)*16+MOD(INT(MOD(INT(((4294967295-L5))/256),256)/2^5),2)*MOD(INT(MOD(INT((P5)/256),256)/2^5),2)*32+MOD(INT(MOD(INT(((4294967295-L5))/256),256)/2^6),2)*MOD(INT(MOD(INT((P5)/256),256)/2^6),2)*64+MOD(INT(MOD(INT(((4294967295-L5))/256),256)/2^7),2)*MOD(INT(MOD(INT((P5)/256),256)/2^7),2)*128)*256+(MOD(INT(MOD(INT(((4294967295-L5))/65536),256)/2^0),2)*MOD(INT(MOD(INT((P5)/65536),256)/2^0),2)*1+MOD(INT(MOD(INT(((4294967295-L5))/65536),256)/2^1),2)*MOD(INT(MOD(INT((P5)/65536),256)/2^1),2)*2+MOD(INT(MOD(INT(((4294967295-L5))/65536),256)/2^2),2)*MOD(INT(MOD(INT((P5)/65536),256)/2^2),2)*4+MOD(INT(MOD(INT(((4294967295-L5))/65536),256)/2^3),2)*MOD(INT(MOD(INT((P5)/65536),256)/2^3),2)*8+MOD(INT(MOD(INT(((4294967295-L5))/65536),256)/2^4),2)*MOD(INT(MOD(INT((P5)/65536),256)/2^4),2)*16+MOD(INT(MOD(INT(((4294967295-L5))/65536),256)/2^5),2)*MOD(INT(MOD(INT((P5)/65536),256)/2^5),2)*32+MOD(INT(MOD(INT(((4294967295-L5))/65536),256)/2^6),2)*MOD(INT(MOD(INT((P5)/65536),256)/2^6),2)*64+MOD(INT(MOD(INT(((4294967295-L5))/65536),256)/2^7),2)*MOD(INT(MOD(INT((P5)/65536),256)/2^7),2)*128)*65536+(MOD(INT(MOD(INT(((4294967295-L5))/16777216),256)/2^0),2)*MOD(INT(MOD(INT((P5)/16777216),256)/2^0),2)*1+MOD(INT(MOD(INT(((4294967295-L5))/16777216),256)/2^1),2)*MOD(INT(MOD(INT((P5)/16777216),256)/2^1),2)*2+MOD(INT(MOD(INT(((4294967295-L5))/16777216),256)/2^2),2)*MOD(INT(MOD(INT((P5)/16777216),256)/2^2),2)*4+MOD(INT(MOD(INT(((4294967295-L5))/16777216),256)/2^3),2)*MOD(INT(MOD(INT((P5)/16777216),256)/2^3),2)*8+MOD(INT(MOD(INT(((4294967295-L5))/16777216),256)/2^4),2)*MOD(INT(MOD(INT((P5)/16777216),256)/2^4),2)*16+MOD(INT(MOD(INT(((4294967295-L5))/16777216),256)/2^5),2)*MOD(INT(MOD(INT((P5)/16777216),256)/2^5),2)*32+MOD(INT(MOD(INT(((4294967295-L5))/16777216),256)/2^6),2)*MOD(INT(MOD(INT((P5)/16777216),256)/2^6),2)*64+MOD(INT(MOD(INT(((4294967295-L5))/16777216),256)/2^7),2)*MOD(INT(MOD(INT((P5)/16777216),256)/2^7),2)*128)*16777216)</f>
        <v>1375812906</v>
      </c>
      <c r="BA6" s="24">
        <f t="shared" ref="BA6:BA37" si="48">MOD(AU6+AW6,4294967296)</f>
        <v>528861580</v>
      </c>
      <c r="BB6" s="24">
        <f t="shared" ref="BB6:BB37" si="49">MOD(AV6+AX6,4294967296)</f>
        <v>2066169147</v>
      </c>
      <c r="BC6" s="24">
        <f t="shared" ref="BC6:BC37" si="50">((MOD(INT(MOD(INT((C5)/1),256)/2^0),2)*MOD(INT(MOD(INT((E5)/1),256)/2^0),2)*1+MOD(INT(MOD(INT((C5)/1),256)/2^1),2)*MOD(INT(MOD(INT((E5)/1),256)/2^1),2)*2+MOD(INT(MOD(INT((C5)/1),256)/2^2),2)*MOD(INT(MOD(INT((E5)/1),256)/2^2),2)*4+MOD(INT(MOD(INT((C5)/1),256)/2^3),2)*MOD(INT(MOD(INT((E5)/1),256)/2^3),2)*8+MOD(INT(MOD(INT((C5)/1),256)/2^4),2)*MOD(INT(MOD(INT((E5)/1),256)/2^4),2)*16+MOD(INT(MOD(INT((C5)/1),256)/2^5),2)*MOD(INT(MOD(INT((E5)/1),256)/2^5),2)*32+MOD(INT(MOD(INT((C5)/1),256)/2^6),2)*MOD(INT(MOD(INT((E5)/1),256)/2^6),2)*64+MOD(INT(MOD(INT((C5)/1),256)/2^7),2)*MOD(INT(MOD(INT((E5)/1),256)/2^7),2)*128)*1+(MOD(INT(MOD(INT((C5)/256),256)/2^0),2)*MOD(INT(MOD(INT((E5)/256),256)/2^0),2)*1+MOD(INT(MOD(INT((C5)/256),256)/2^1),2)*MOD(INT(MOD(INT((E5)/256),256)/2^1),2)*2+MOD(INT(MOD(INT((C5)/256),256)/2^2),2)*MOD(INT(MOD(INT((E5)/256),256)/2^2),2)*4+MOD(INT(MOD(INT((C5)/256),256)/2^3),2)*MOD(INT(MOD(INT((E5)/256),256)/2^3),2)*8+MOD(INT(MOD(INT((C5)/256),256)/2^4),2)*MOD(INT(MOD(INT((E5)/256),256)/2^4),2)*16+MOD(INT(MOD(INT((C5)/256),256)/2^5),2)*MOD(INT(MOD(INT((E5)/256),256)/2^5),2)*32+MOD(INT(MOD(INT((C5)/256),256)/2^6),2)*MOD(INT(MOD(INT((E5)/256),256)/2^6),2)*64+MOD(INT(MOD(INT((C5)/256),256)/2^7),2)*MOD(INT(MOD(INT((E5)/256),256)/2^7),2)*128)*256+(MOD(INT(MOD(INT((C5)/65536),256)/2^0),2)*MOD(INT(MOD(INT((E5)/65536),256)/2^0),2)*1+MOD(INT(MOD(INT((C5)/65536),256)/2^1),2)*MOD(INT(MOD(INT((E5)/65536),256)/2^1),2)*2+MOD(INT(MOD(INT((C5)/65536),256)/2^2),2)*MOD(INT(MOD(INT((E5)/65536),256)/2^2),2)*4+MOD(INT(MOD(INT((C5)/65536),256)/2^3),2)*MOD(INT(MOD(INT((E5)/65536),256)/2^3),2)*8+MOD(INT(MOD(INT((C5)/65536),256)/2^4),2)*MOD(INT(MOD(INT((E5)/65536),256)/2^4),2)*16+MOD(INT(MOD(INT((C5)/65536),256)/2^5),2)*MOD(INT(MOD(INT((E5)/65536),256)/2^5),2)*32+MOD(INT(MOD(INT((C5)/65536),256)/2^6),2)*MOD(INT(MOD(INT((E5)/65536),256)/2^6),2)*64+MOD(INT(MOD(INT((C5)/65536),256)/2^7),2)*MOD(INT(MOD(INT((E5)/65536),256)/2^7),2)*128)*65536+(MOD(INT(MOD(INT((C5)/16777216),256)/2^0),2)*MOD(INT(MOD(INT((E5)/16777216),256)/2^0),2)*1+MOD(INT(MOD(INT((C5)/16777216),256)/2^1),2)*MOD(INT(MOD(INT((E5)/16777216),256)/2^1),2)*2+MOD(INT(MOD(INT((C5)/16777216),256)/2^2),2)*MOD(INT(MOD(INT((E5)/16777216),256)/2^2),2)*4+MOD(INT(MOD(INT((C5)/16777216),256)/2^3),2)*MOD(INT(MOD(INT((E5)/16777216),256)/2^3),2)*8+MOD(INT(MOD(INT((C5)/16777216),256)/2^4),2)*MOD(INT(MOD(INT((E5)/16777216),256)/2^4),2)*16+MOD(INT(MOD(INT((C5)/16777216),256)/2^5),2)*MOD(INT(MOD(INT((E5)/16777216),256)/2^5),2)*32+MOD(INT(MOD(INT((C5)/16777216),256)/2^6),2)*MOD(INT(MOD(INT((E5)/16777216),256)/2^6),2)*64+MOD(INT(MOD(INT((C5)/16777216),256)/2^7),2)*MOD(INT(MOD(INT((E5)/16777216),256)/2^7),2)*128)*16777216)</f>
        <v>704751109</v>
      </c>
      <c r="BD6" s="24">
        <f t="shared" ref="BD6:BD37" si="51">((MOD(INT(MOD(INT((D5)/1),256)/2^0),2)*MOD(INT(MOD(INT((F5)/1),256)/2^0),2)*1+MOD(INT(MOD(INT((D5)/1),256)/2^1),2)*MOD(INT(MOD(INT((F5)/1),256)/2^1),2)*2+MOD(INT(MOD(INT((D5)/1),256)/2^2),2)*MOD(INT(MOD(INT((F5)/1),256)/2^2),2)*4+MOD(INT(MOD(INT((D5)/1),256)/2^3),2)*MOD(INT(MOD(INT((F5)/1),256)/2^3),2)*8+MOD(INT(MOD(INT((D5)/1),256)/2^4),2)*MOD(INT(MOD(INT((F5)/1),256)/2^4),2)*16+MOD(INT(MOD(INT((D5)/1),256)/2^5),2)*MOD(INT(MOD(INT((F5)/1),256)/2^5),2)*32+MOD(INT(MOD(INT((D5)/1),256)/2^6),2)*MOD(INT(MOD(INT((F5)/1),256)/2^6),2)*64+MOD(INT(MOD(INT((D5)/1),256)/2^7),2)*MOD(INT(MOD(INT((F5)/1),256)/2^7),2)*128)*1+(MOD(INT(MOD(INT((D5)/256),256)/2^0),2)*MOD(INT(MOD(INT((F5)/256),256)/2^0),2)*1+MOD(INT(MOD(INT((D5)/256),256)/2^1),2)*MOD(INT(MOD(INT((F5)/256),256)/2^1),2)*2+MOD(INT(MOD(INT((D5)/256),256)/2^2),2)*MOD(INT(MOD(INT((F5)/256),256)/2^2),2)*4+MOD(INT(MOD(INT((D5)/256),256)/2^3),2)*MOD(INT(MOD(INT((F5)/256),256)/2^3),2)*8+MOD(INT(MOD(INT((D5)/256),256)/2^4),2)*MOD(INT(MOD(INT((F5)/256),256)/2^4),2)*16+MOD(INT(MOD(INT((D5)/256),256)/2^5),2)*MOD(INT(MOD(INT((F5)/256),256)/2^5),2)*32+MOD(INT(MOD(INT((D5)/256),256)/2^6),2)*MOD(INT(MOD(INT((F5)/256),256)/2^6),2)*64+MOD(INT(MOD(INT((D5)/256),256)/2^7),2)*MOD(INT(MOD(INT((F5)/256),256)/2^7),2)*128)*256+(MOD(INT(MOD(INT((D5)/65536),256)/2^0),2)*MOD(INT(MOD(INT((F5)/65536),256)/2^0),2)*1+MOD(INT(MOD(INT((D5)/65536),256)/2^1),2)*MOD(INT(MOD(INT((F5)/65536),256)/2^1),2)*2+MOD(INT(MOD(INT((D5)/65536),256)/2^2),2)*MOD(INT(MOD(INT((F5)/65536),256)/2^2),2)*4+MOD(INT(MOD(INT((D5)/65536),256)/2^3),2)*MOD(INT(MOD(INT((F5)/65536),256)/2^3),2)*8+MOD(INT(MOD(INT((D5)/65536),256)/2^4),2)*MOD(INT(MOD(INT((F5)/65536),256)/2^4),2)*16+MOD(INT(MOD(INT((D5)/65536),256)/2^5),2)*MOD(INT(MOD(INT((F5)/65536),256)/2^5),2)*32+MOD(INT(MOD(INT((D5)/65536),256)/2^6),2)*MOD(INT(MOD(INT((F5)/65536),256)/2^6),2)*64+MOD(INT(MOD(INT((D5)/65536),256)/2^7),2)*MOD(INT(MOD(INT((F5)/65536),256)/2^7),2)*128)*65536+(MOD(INT(MOD(INT((D5)/16777216),256)/2^0),2)*MOD(INT(MOD(INT((F5)/16777216),256)/2^0),2)*1+MOD(INT(MOD(INT((D5)/16777216),256)/2^1),2)*MOD(INT(MOD(INT((F5)/16777216),256)/2^1),2)*2+MOD(INT(MOD(INT((D5)/16777216),256)/2^2),2)*MOD(INT(MOD(INT((F5)/16777216),256)/2^2),2)*4+MOD(INT(MOD(INT((D5)/16777216),256)/2^3),2)*MOD(INT(MOD(INT((F5)/16777216),256)/2^3),2)*8+MOD(INT(MOD(INT((D5)/16777216),256)/2^4),2)*MOD(INT(MOD(INT((F5)/16777216),256)/2^4),2)*16+MOD(INT(MOD(INT((D5)/16777216),256)/2^5),2)*MOD(INT(MOD(INT((F5)/16777216),256)/2^5),2)*32+MOD(INT(MOD(INT((D5)/16777216),256)/2^6),2)*MOD(INT(MOD(INT((F5)/16777216),256)/2^6),2)*64+MOD(INT(MOD(INT((D5)/16777216),256)/2^7),2)*MOD(INT(MOD(INT((F5)/16777216),256)/2^7),2)*128)*16777216)</f>
        <v>2156429576</v>
      </c>
      <c r="BE6" s="24">
        <f t="shared" ref="BE6:BE37" si="52">((MOD(INT(MOD(INT((C5)/1),256)/2^0),2)*MOD(INT(MOD(INT((G5)/1),256)/2^0),2)*1+MOD(INT(MOD(INT((C5)/1),256)/2^1),2)*MOD(INT(MOD(INT((G5)/1),256)/2^1),2)*2+MOD(INT(MOD(INT((C5)/1),256)/2^2),2)*MOD(INT(MOD(INT((G5)/1),256)/2^2),2)*4+MOD(INT(MOD(INT((C5)/1),256)/2^3),2)*MOD(INT(MOD(INT((G5)/1),256)/2^3),2)*8+MOD(INT(MOD(INT((C5)/1),256)/2^4),2)*MOD(INT(MOD(INT((G5)/1),256)/2^4),2)*16+MOD(INT(MOD(INT((C5)/1),256)/2^5),2)*MOD(INT(MOD(INT((G5)/1),256)/2^5),2)*32+MOD(INT(MOD(INT((C5)/1),256)/2^6),2)*MOD(INT(MOD(INT((G5)/1),256)/2^6),2)*64+MOD(INT(MOD(INT((C5)/1),256)/2^7),2)*MOD(INT(MOD(INT((G5)/1),256)/2^7),2)*128)*1+(MOD(INT(MOD(INT((C5)/256),256)/2^0),2)*MOD(INT(MOD(INT((G5)/256),256)/2^0),2)*1+MOD(INT(MOD(INT((C5)/256),256)/2^1),2)*MOD(INT(MOD(INT((G5)/256),256)/2^1),2)*2+MOD(INT(MOD(INT((C5)/256),256)/2^2),2)*MOD(INT(MOD(INT((G5)/256),256)/2^2),2)*4+MOD(INT(MOD(INT((C5)/256),256)/2^3),2)*MOD(INT(MOD(INT((G5)/256),256)/2^3),2)*8+MOD(INT(MOD(INT((C5)/256),256)/2^4),2)*MOD(INT(MOD(INT((G5)/256),256)/2^4),2)*16+MOD(INT(MOD(INT((C5)/256),256)/2^5),2)*MOD(INT(MOD(INT((G5)/256),256)/2^5),2)*32+MOD(INT(MOD(INT((C5)/256),256)/2^6),2)*MOD(INT(MOD(INT((G5)/256),256)/2^6),2)*64+MOD(INT(MOD(INT((C5)/256),256)/2^7),2)*MOD(INT(MOD(INT((G5)/256),256)/2^7),2)*128)*256+(MOD(INT(MOD(INT((C5)/65536),256)/2^0),2)*MOD(INT(MOD(INT((G5)/65536),256)/2^0),2)*1+MOD(INT(MOD(INT((C5)/65536),256)/2^1),2)*MOD(INT(MOD(INT((G5)/65536),256)/2^1),2)*2+MOD(INT(MOD(INT((C5)/65536),256)/2^2),2)*MOD(INT(MOD(INT((G5)/65536),256)/2^2),2)*4+MOD(INT(MOD(INT((C5)/65536),256)/2^3),2)*MOD(INT(MOD(INT((G5)/65536),256)/2^3),2)*8+MOD(INT(MOD(INT((C5)/65536),256)/2^4),2)*MOD(INT(MOD(INT((G5)/65536),256)/2^4),2)*16+MOD(INT(MOD(INT((C5)/65536),256)/2^5),2)*MOD(INT(MOD(INT((G5)/65536),256)/2^5),2)*32+MOD(INT(MOD(INT((C5)/65536),256)/2^6),2)*MOD(INT(MOD(INT((G5)/65536),256)/2^6),2)*64+MOD(INT(MOD(INT((C5)/65536),256)/2^7),2)*MOD(INT(MOD(INT((G5)/65536),256)/2^7),2)*128)*65536+(MOD(INT(MOD(INT((C5)/16777216),256)/2^0),2)*MOD(INT(MOD(INT((G5)/16777216),256)/2^0),2)*1+MOD(INT(MOD(INT((C5)/16777216),256)/2^1),2)*MOD(INT(MOD(INT((G5)/16777216),256)/2^1),2)*2+MOD(INT(MOD(INT((C5)/16777216),256)/2^2),2)*MOD(INT(MOD(INT((G5)/16777216),256)/2^2),2)*4+MOD(INT(MOD(INT((C5)/16777216),256)/2^3),2)*MOD(INT(MOD(INT((G5)/16777216),256)/2^3),2)*8+MOD(INT(MOD(INT((C5)/16777216),256)/2^4),2)*MOD(INT(MOD(INT((G5)/16777216),256)/2^4),2)*16+MOD(INT(MOD(INT((C5)/16777216),256)/2^5),2)*MOD(INT(MOD(INT((G5)/16777216),256)/2^5),2)*32+MOD(INT(MOD(INT((C5)/16777216),256)/2^6),2)*MOD(INT(MOD(INT((G5)/16777216),256)/2^6),2)*64+MOD(INT(MOD(INT((C5)/16777216),256)/2^7),2)*MOD(INT(MOD(INT((G5)/16777216),256)/2^7),2)*128)*16777216)</f>
        <v>671670882</v>
      </c>
      <c r="BF6" s="24">
        <f t="shared" ref="BF6:BF37" si="53">((MOD(INT(MOD(INT((D5)/1),256)/2^0),2)*MOD(INT(MOD(INT((H5)/1),256)/2^0),2)*1+MOD(INT(MOD(INT((D5)/1),256)/2^1),2)*MOD(INT(MOD(INT((H5)/1),256)/2^1),2)*2+MOD(INT(MOD(INT((D5)/1),256)/2^2),2)*MOD(INT(MOD(INT((H5)/1),256)/2^2),2)*4+MOD(INT(MOD(INT((D5)/1),256)/2^3),2)*MOD(INT(MOD(INT((H5)/1),256)/2^3),2)*8+MOD(INT(MOD(INT((D5)/1),256)/2^4),2)*MOD(INT(MOD(INT((H5)/1),256)/2^4),2)*16+MOD(INT(MOD(INT((D5)/1),256)/2^5),2)*MOD(INT(MOD(INT((H5)/1),256)/2^5),2)*32+MOD(INT(MOD(INT((D5)/1),256)/2^6),2)*MOD(INT(MOD(INT((H5)/1),256)/2^6),2)*64+MOD(INT(MOD(INT((D5)/1),256)/2^7),2)*MOD(INT(MOD(INT((H5)/1),256)/2^7),2)*128)*1+(MOD(INT(MOD(INT((D5)/256),256)/2^0),2)*MOD(INT(MOD(INT((H5)/256),256)/2^0),2)*1+MOD(INT(MOD(INT((D5)/256),256)/2^1),2)*MOD(INT(MOD(INT((H5)/256),256)/2^1),2)*2+MOD(INT(MOD(INT((D5)/256),256)/2^2),2)*MOD(INT(MOD(INT((H5)/256),256)/2^2),2)*4+MOD(INT(MOD(INT((D5)/256),256)/2^3),2)*MOD(INT(MOD(INT((H5)/256),256)/2^3),2)*8+MOD(INT(MOD(INT((D5)/256),256)/2^4),2)*MOD(INT(MOD(INT((H5)/256),256)/2^4),2)*16+MOD(INT(MOD(INT((D5)/256),256)/2^5),2)*MOD(INT(MOD(INT((H5)/256),256)/2^5),2)*32+MOD(INT(MOD(INT((D5)/256),256)/2^6),2)*MOD(INT(MOD(INT((H5)/256),256)/2^6),2)*64+MOD(INT(MOD(INT((D5)/256),256)/2^7),2)*MOD(INT(MOD(INT((H5)/256),256)/2^7),2)*128)*256+(MOD(INT(MOD(INT((D5)/65536),256)/2^0),2)*MOD(INT(MOD(INT((H5)/65536),256)/2^0),2)*1+MOD(INT(MOD(INT((D5)/65536),256)/2^1),2)*MOD(INT(MOD(INT((H5)/65536),256)/2^1),2)*2+MOD(INT(MOD(INT((D5)/65536),256)/2^2),2)*MOD(INT(MOD(INT((H5)/65536),256)/2^2),2)*4+MOD(INT(MOD(INT((D5)/65536),256)/2^3),2)*MOD(INT(MOD(INT((H5)/65536),256)/2^3),2)*8+MOD(INT(MOD(INT((D5)/65536),256)/2^4),2)*MOD(INT(MOD(INT((H5)/65536),256)/2^4),2)*16+MOD(INT(MOD(INT((D5)/65536),256)/2^5),2)*MOD(INT(MOD(INT((H5)/65536),256)/2^5),2)*32+MOD(INT(MOD(INT((D5)/65536),256)/2^6),2)*MOD(INT(MOD(INT((H5)/65536),256)/2^6),2)*64+MOD(INT(MOD(INT((D5)/65536),256)/2^7),2)*MOD(INT(MOD(INT((H5)/65536),256)/2^7),2)*128)*65536+(MOD(INT(MOD(INT((D5)/16777216),256)/2^0),2)*MOD(INT(MOD(INT((H5)/16777216),256)/2^0),2)*1+MOD(INT(MOD(INT((D5)/16777216),256)/2^1),2)*MOD(INT(MOD(INT((H5)/16777216),256)/2^1),2)*2+MOD(INT(MOD(INT((D5)/16777216),256)/2^2),2)*MOD(INT(MOD(INT((H5)/16777216),256)/2^2),2)*4+MOD(INT(MOD(INT((D5)/16777216),256)/2^3),2)*MOD(INT(MOD(INT((H5)/16777216),256)/2^3),2)*8+MOD(INT(MOD(INT((D5)/16777216),256)/2^4),2)*MOD(INT(MOD(INT((H5)/16777216),256)/2^4),2)*16+MOD(INT(MOD(INT((D5)/16777216),256)/2^5),2)*MOD(INT(MOD(INT((H5)/16777216),256)/2^5),2)*32+MOD(INT(MOD(INT((D5)/16777216),256)/2^6),2)*MOD(INT(MOD(INT((H5)/16777216),256)/2^6),2)*64+MOD(INT(MOD(INT((D5)/16777216),256)/2^7),2)*MOD(INT(MOD(INT((H5)/16777216),256)/2^7),2)*128)*16777216)</f>
        <v>4069836808</v>
      </c>
      <c r="BG6" s="24">
        <f t="shared" ref="BG6:BG37" si="54">((MOD(INT(MOD(INT((E5)/1),256)/2^0),2)*MOD(INT(MOD(INT((G5)/1),256)/2^0),2)*1+MOD(INT(MOD(INT((E5)/1),256)/2^1),2)*MOD(INT(MOD(INT((G5)/1),256)/2^1),2)*2+MOD(INT(MOD(INT((E5)/1),256)/2^2),2)*MOD(INT(MOD(INT((G5)/1),256)/2^2),2)*4+MOD(INT(MOD(INT((E5)/1),256)/2^3),2)*MOD(INT(MOD(INT((G5)/1),256)/2^3),2)*8+MOD(INT(MOD(INT((E5)/1),256)/2^4),2)*MOD(INT(MOD(INT((G5)/1),256)/2^4),2)*16+MOD(INT(MOD(INT((E5)/1),256)/2^5),2)*MOD(INT(MOD(INT((G5)/1),256)/2^5),2)*32+MOD(INT(MOD(INT((E5)/1),256)/2^6),2)*MOD(INT(MOD(INT((G5)/1),256)/2^6),2)*64+MOD(INT(MOD(INT((E5)/1),256)/2^7),2)*MOD(INT(MOD(INT((G5)/1),256)/2^7),2)*128)*1+(MOD(INT(MOD(INT((E5)/256),256)/2^0),2)*MOD(INT(MOD(INT((G5)/256),256)/2^0),2)*1+MOD(INT(MOD(INT((E5)/256),256)/2^1),2)*MOD(INT(MOD(INT((G5)/256),256)/2^1),2)*2+MOD(INT(MOD(INT((E5)/256),256)/2^2),2)*MOD(INT(MOD(INT((G5)/256),256)/2^2),2)*4+MOD(INT(MOD(INT((E5)/256),256)/2^3),2)*MOD(INT(MOD(INT((G5)/256),256)/2^3),2)*8+MOD(INT(MOD(INT((E5)/256),256)/2^4),2)*MOD(INT(MOD(INT((G5)/256),256)/2^4),2)*16+MOD(INT(MOD(INT((E5)/256),256)/2^5),2)*MOD(INT(MOD(INT((G5)/256),256)/2^5),2)*32+MOD(INT(MOD(INT((E5)/256),256)/2^6),2)*MOD(INT(MOD(INT((G5)/256),256)/2^6),2)*64+MOD(INT(MOD(INT((E5)/256),256)/2^7),2)*MOD(INT(MOD(INT((G5)/256),256)/2^7),2)*128)*256+(MOD(INT(MOD(INT((E5)/65536),256)/2^0),2)*MOD(INT(MOD(INT((G5)/65536),256)/2^0),2)*1+MOD(INT(MOD(INT((E5)/65536),256)/2^1),2)*MOD(INT(MOD(INT((G5)/65536),256)/2^1),2)*2+MOD(INT(MOD(INT((E5)/65536),256)/2^2),2)*MOD(INT(MOD(INT((G5)/65536),256)/2^2),2)*4+MOD(INT(MOD(INT((E5)/65536),256)/2^3),2)*MOD(INT(MOD(INT((G5)/65536),256)/2^3),2)*8+MOD(INT(MOD(INT((E5)/65536),256)/2^4),2)*MOD(INT(MOD(INT((G5)/65536),256)/2^4),2)*16+MOD(INT(MOD(INT((E5)/65536),256)/2^5),2)*MOD(INT(MOD(INT((G5)/65536),256)/2^5),2)*32+MOD(INT(MOD(INT((E5)/65536),256)/2^6),2)*MOD(INT(MOD(INT((G5)/65536),256)/2^6),2)*64+MOD(INT(MOD(INT((E5)/65536),256)/2^7),2)*MOD(INT(MOD(INT((G5)/65536),256)/2^7),2)*128)*65536+(MOD(INT(MOD(INT((E5)/16777216),256)/2^0),2)*MOD(INT(MOD(INT((G5)/16777216),256)/2^0),2)*1+MOD(INT(MOD(INT((E5)/16777216),256)/2^1),2)*MOD(INT(MOD(INT((G5)/16777216),256)/2^1),2)*2+MOD(INT(MOD(INT((E5)/16777216),256)/2^2),2)*MOD(INT(MOD(INT((G5)/16777216),256)/2^2),2)*4+MOD(INT(MOD(INT((E5)/16777216),256)/2^3),2)*MOD(INT(MOD(INT((G5)/16777216),256)/2^3),2)*8+MOD(INT(MOD(INT((E5)/16777216),256)/2^4),2)*MOD(INT(MOD(INT((G5)/16777216),256)/2^4),2)*16+MOD(INT(MOD(INT((E5)/16777216),256)/2^5),2)*MOD(INT(MOD(INT((G5)/16777216),256)/2^5),2)*32+MOD(INT(MOD(INT((E5)/16777216),256)/2^6),2)*MOD(INT(MOD(INT((G5)/16777216),256)/2^6),2)*64+MOD(INT(MOD(INT((E5)/16777216),256)/2^7),2)*MOD(INT(MOD(INT((G5)/16777216),256)/2^7),2)*128)*16777216)</f>
        <v>946250240</v>
      </c>
      <c r="BH6" s="24">
        <f t="shared" ref="BH6:BH37" si="55">((MOD(INT(MOD(INT((F5)/1),256)/2^0),2)*MOD(INT(MOD(INT((H5)/1),256)/2^0),2)*1+MOD(INT(MOD(INT((F5)/1),256)/2^1),2)*MOD(INT(MOD(INT((H5)/1),256)/2^1),2)*2+MOD(INT(MOD(INT((F5)/1),256)/2^2),2)*MOD(INT(MOD(INT((H5)/1),256)/2^2),2)*4+MOD(INT(MOD(INT((F5)/1),256)/2^3),2)*MOD(INT(MOD(INT((H5)/1),256)/2^3),2)*8+MOD(INT(MOD(INT((F5)/1),256)/2^4),2)*MOD(INT(MOD(INT((H5)/1),256)/2^4),2)*16+MOD(INT(MOD(INT((F5)/1),256)/2^5),2)*MOD(INT(MOD(INT((H5)/1),256)/2^5),2)*32+MOD(INT(MOD(INT((F5)/1),256)/2^6),2)*MOD(INT(MOD(INT((H5)/1),256)/2^6),2)*64+MOD(INT(MOD(INT((F5)/1),256)/2^7),2)*MOD(INT(MOD(INT((H5)/1),256)/2^7),2)*128)*1+(MOD(INT(MOD(INT((F5)/256),256)/2^0),2)*MOD(INT(MOD(INT((H5)/256),256)/2^0),2)*1+MOD(INT(MOD(INT((F5)/256),256)/2^1),2)*MOD(INT(MOD(INT((H5)/256),256)/2^1),2)*2+MOD(INT(MOD(INT((F5)/256),256)/2^2),2)*MOD(INT(MOD(INT((H5)/256),256)/2^2),2)*4+MOD(INT(MOD(INT((F5)/256),256)/2^3),2)*MOD(INT(MOD(INT((H5)/256),256)/2^3),2)*8+MOD(INT(MOD(INT((F5)/256),256)/2^4),2)*MOD(INT(MOD(INT((H5)/256),256)/2^4),2)*16+MOD(INT(MOD(INT((F5)/256),256)/2^5),2)*MOD(INT(MOD(INT((H5)/256),256)/2^5),2)*32+MOD(INT(MOD(INT((F5)/256),256)/2^6),2)*MOD(INT(MOD(INT((H5)/256),256)/2^6),2)*64+MOD(INT(MOD(INT((F5)/256),256)/2^7),2)*MOD(INT(MOD(INT((H5)/256),256)/2^7),2)*128)*256+(MOD(INT(MOD(INT((F5)/65536),256)/2^0),2)*MOD(INT(MOD(INT((H5)/65536),256)/2^0),2)*1+MOD(INT(MOD(INT((F5)/65536),256)/2^1),2)*MOD(INT(MOD(INT((H5)/65536),256)/2^1),2)*2+MOD(INT(MOD(INT((F5)/65536),256)/2^2),2)*MOD(INT(MOD(INT((H5)/65536),256)/2^2),2)*4+MOD(INT(MOD(INT((F5)/65536),256)/2^3),2)*MOD(INT(MOD(INT((H5)/65536),256)/2^3),2)*8+MOD(INT(MOD(INT((F5)/65536),256)/2^4),2)*MOD(INT(MOD(INT((H5)/65536),256)/2^4),2)*16+MOD(INT(MOD(INT((F5)/65536),256)/2^5),2)*MOD(INT(MOD(INT((H5)/65536),256)/2^5),2)*32+MOD(INT(MOD(INT((F5)/65536),256)/2^6),2)*MOD(INT(MOD(INT((H5)/65536),256)/2^6),2)*64+MOD(INT(MOD(INT((F5)/65536),256)/2^7),2)*MOD(INT(MOD(INT((H5)/65536),256)/2^7),2)*128)*65536+(MOD(INT(MOD(INT((F5)/16777216),256)/2^0),2)*MOD(INT(MOD(INT((H5)/16777216),256)/2^0),2)*1+MOD(INT(MOD(INT((F5)/16777216),256)/2^1),2)*MOD(INT(MOD(INT((H5)/16777216),256)/2^1),2)*2+MOD(INT(MOD(INT((F5)/16777216),256)/2^2),2)*MOD(INT(MOD(INT((H5)/16777216),256)/2^2),2)*4+MOD(INT(MOD(INT((F5)/16777216),256)/2^3),2)*MOD(INT(MOD(INT((H5)/16777216),256)/2^3),2)*8+MOD(INT(MOD(INT((F5)/16777216),256)/2^4),2)*MOD(INT(MOD(INT((H5)/16777216),256)/2^4),2)*16+MOD(INT(MOD(INT((F5)/16777216),256)/2^5),2)*MOD(INT(MOD(INT((H5)/16777216),256)/2^5),2)*32+MOD(INT(MOD(INT((F5)/16777216),256)/2^6),2)*MOD(INT(MOD(INT((H5)/16777216),256)/2^6),2)*64+MOD(INT(MOD(INT((F5)/16777216),256)/2^7),2)*MOD(INT(MOD(INT((H5)/16777216),256)/2^7),2)*128)*16777216)</f>
        <v>2223022123</v>
      </c>
      <c r="BI6" s="24">
        <f t="shared" ref="BI6:BI37" si="56">((MOD(INT(MOD(INT((BC6)/1),256)/2^0),2)*MOD(INT(MOD(INT((BG6)/1),256)/2^0),2)*1+MOD(INT(MOD(INT((BC6)/1),256)/2^1),2)*MOD(INT(MOD(INT((BG6)/1),256)/2^1),2)*2+MOD(INT(MOD(INT((BC6)/1),256)/2^2),2)*MOD(INT(MOD(INT((BG6)/1),256)/2^2),2)*4+MOD(INT(MOD(INT((BC6)/1),256)/2^3),2)*MOD(INT(MOD(INT((BG6)/1),256)/2^3),2)*8+MOD(INT(MOD(INT((BC6)/1),256)/2^4),2)*MOD(INT(MOD(INT((BG6)/1),256)/2^4),2)*16+MOD(INT(MOD(INT((BC6)/1),256)/2^5),2)*MOD(INT(MOD(INT((BG6)/1),256)/2^5),2)*32+MOD(INT(MOD(INT((BC6)/1),256)/2^6),2)*MOD(INT(MOD(INT((BG6)/1),256)/2^6),2)*64+MOD(INT(MOD(INT((BC6)/1),256)/2^7),2)*MOD(INT(MOD(INT((BG6)/1),256)/2^7),2)*128)*1+(MOD(INT(MOD(INT((BC6)/256),256)/2^0),2)*MOD(INT(MOD(INT((BG6)/256),256)/2^0),2)*1+MOD(INT(MOD(INT((BC6)/256),256)/2^1),2)*MOD(INT(MOD(INT((BG6)/256),256)/2^1),2)*2+MOD(INT(MOD(INT((BC6)/256),256)/2^2),2)*MOD(INT(MOD(INT((BG6)/256),256)/2^2),2)*4+MOD(INT(MOD(INT((BC6)/256),256)/2^3),2)*MOD(INT(MOD(INT((BG6)/256),256)/2^3),2)*8+MOD(INT(MOD(INT((BC6)/256),256)/2^4),2)*MOD(INT(MOD(INT((BG6)/256),256)/2^4),2)*16+MOD(INT(MOD(INT((BC6)/256),256)/2^5),2)*MOD(INT(MOD(INT((BG6)/256),256)/2^5),2)*32+MOD(INT(MOD(INT((BC6)/256),256)/2^6),2)*MOD(INT(MOD(INT((BG6)/256),256)/2^6),2)*64+MOD(INT(MOD(INT((BC6)/256),256)/2^7),2)*MOD(INT(MOD(INT((BG6)/256),256)/2^7),2)*128)*256+(MOD(INT(MOD(INT((BC6)/65536),256)/2^0),2)*MOD(INT(MOD(INT((BG6)/65536),256)/2^0),2)*1+MOD(INT(MOD(INT((BC6)/65536),256)/2^1),2)*MOD(INT(MOD(INT((BG6)/65536),256)/2^1),2)*2+MOD(INT(MOD(INT((BC6)/65536),256)/2^2),2)*MOD(INT(MOD(INT((BG6)/65536),256)/2^2),2)*4+MOD(INT(MOD(INT((BC6)/65536),256)/2^3),2)*MOD(INT(MOD(INT((BG6)/65536),256)/2^3),2)*8+MOD(INT(MOD(INT((BC6)/65536),256)/2^4),2)*MOD(INT(MOD(INT((BG6)/65536),256)/2^4),2)*16+MOD(INT(MOD(INT((BC6)/65536),256)/2^5),2)*MOD(INT(MOD(INT((BG6)/65536),256)/2^5),2)*32+MOD(INT(MOD(INT((BC6)/65536),256)/2^6),2)*MOD(INT(MOD(INT((BG6)/65536),256)/2^6),2)*64+MOD(INT(MOD(INT((BC6)/65536),256)/2^7),2)*MOD(INT(MOD(INT((BG6)/65536),256)/2^7),2)*128)*65536+(MOD(INT(MOD(INT((BC6)/16777216),256)/2^0),2)*MOD(INT(MOD(INT((BG6)/16777216),256)/2^0),2)*1+MOD(INT(MOD(INT((BC6)/16777216),256)/2^1),2)*MOD(INT(MOD(INT((BG6)/16777216),256)/2^1),2)*2+MOD(INT(MOD(INT((BC6)/16777216),256)/2^2),2)*MOD(INT(MOD(INT((BG6)/16777216),256)/2^2),2)*4+MOD(INT(MOD(INT((BC6)/16777216),256)/2^3),2)*MOD(INT(MOD(INT((BG6)/16777216),256)/2^3),2)*8+MOD(INT(MOD(INT((BC6)/16777216),256)/2^4),2)*MOD(INT(MOD(INT((BG6)/16777216),256)/2^4),2)*16+MOD(INT(MOD(INT((BC6)/16777216),256)/2^5),2)*MOD(INT(MOD(INT((BG6)/16777216),256)/2^5),2)*32+MOD(INT(MOD(INT((BC6)/16777216),256)/2^6),2)*MOD(INT(MOD(INT((BG6)/16777216),256)/2^6),2)*64+MOD(INT(MOD(INT((BC6)/16777216),256)/2^7),2)*MOD(INT(MOD(INT((BG6)/16777216),256)/2^7),2)*128)*16777216)</f>
        <v>671130112</v>
      </c>
      <c r="BJ6" s="24">
        <f t="shared" ref="BJ6:BJ37" si="57">((MOD(INT(MOD(INT((BD6)/1),256)/2^0),2)*MOD(INT(MOD(INT((BH6)/1),256)/2^0),2)*1+MOD(INT(MOD(INT((BD6)/1),256)/2^1),2)*MOD(INT(MOD(INT((BH6)/1),256)/2^1),2)*2+MOD(INT(MOD(INT((BD6)/1),256)/2^2),2)*MOD(INT(MOD(INT((BH6)/1),256)/2^2),2)*4+MOD(INT(MOD(INT((BD6)/1),256)/2^3),2)*MOD(INT(MOD(INT((BH6)/1),256)/2^3),2)*8+MOD(INT(MOD(INT((BD6)/1),256)/2^4),2)*MOD(INT(MOD(INT((BH6)/1),256)/2^4),2)*16+MOD(INT(MOD(INT((BD6)/1),256)/2^5),2)*MOD(INT(MOD(INT((BH6)/1),256)/2^5),2)*32+MOD(INT(MOD(INT((BD6)/1),256)/2^6),2)*MOD(INT(MOD(INT((BH6)/1),256)/2^6),2)*64+MOD(INT(MOD(INT((BD6)/1),256)/2^7),2)*MOD(INT(MOD(INT((BH6)/1),256)/2^7),2)*128)*1+(MOD(INT(MOD(INT((BD6)/256),256)/2^0),2)*MOD(INT(MOD(INT((BH6)/256),256)/2^0),2)*1+MOD(INT(MOD(INT((BD6)/256),256)/2^1),2)*MOD(INT(MOD(INT((BH6)/256),256)/2^1),2)*2+MOD(INT(MOD(INT((BD6)/256),256)/2^2),2)*MOD(INT(MOD(INT((BH6)/256),256)/2^2),2)*4+MOD(INT(MOD(INT((BD6)/256),256)/2^3),2)*MOD(INT(MOD(INT((BH6)/256),256)/2^3),2)*8+MOD(INT(MOD(INT((BD6)/256),256)/2^4),2)*MOD(INT(MOD(INT((BH6)/256),256)/2^4),2)*16+MOD(INT(MOD(INT((BD6)/256),256)/2^5),2)*MOD(INT(MOD(INT((BH6)/256),256)/2^5),2)*32+MOD(INT(MOD(INT((BD6)/256),256)/2^6),2)*MOD(INT(MOD(INT((BH6)/256),256)/2^6),2)*64+MOD(INT(MOD(INT((BD6)/256),256)/2^7),2)*MOD(INT(MOD(INT((BH6)/256),256)/2^7),2)*128)*256+(MOD(INT(MOD(INT((BD6)/65536),256)/2^0),2)*MOD(INT(MOD(INT((BH6)/65536),256)/2^0),2)*1+MOD(INT(MOD(INT((BD6)/65536),256)/2^1),2)*MOD(INT(MOD(INT((BH6)/65536),256)/2^1),2)*2+MOD(INT(MOD(INT((BD6)/65536),256)/2^2),2)*MOD(INT(MOD(INT((BH6)/65536),256)/2^2),2)*4+MOD(INT(MOD(INT((BD6)/65536),256)/2^3),2)*MOD(INT(MOD(INT((BH6)/65536),256)/2^3),2)*8+MOD(INT(MOD(INT((BD6)/65536),256)/2^4),2)*MOD(INT(MOD(INT((BH6)/65536),256)/2^4),2)*16+MOD(INT(MOD(INT((BD6)/65536),256)/2^5),2)*MOD(INT(MOD(INT((BH6)/65536),256)/2^5),2)*32+MOD(INT(MOD(INT((BD6)/65536),256)/2^6),2)*MOD(INT(MOD(INT((BH6)/65536),256)/2^6),2)*64+MOD(INT(MOD(INT((BD6)/65536),256)/2^7),2)*MOD(INT(MOD(INT((BH6)/65536),256)/2^7),2)*128)*65536+(MOD(INT(MOD(INT((BD6)/16777216),256)/2^0),2)*MOD(INT(MOD(INT((BH6)/16777216),256)/2^0),2)*1+MOD(INT(MOD(INT((BD6)/16777216),256)/2^1),2)*MOD(INT(MOD(INT((BH6)/16777216),256)/2^1),2)*2+MOD(INT(MOD(INT((BD6)/16777216),256)/2^2),2)*MOD(INT(MOD(INT((BH6)/16777216),256)/2^2),2)*4+MOD(INT(MOD(INT((BD6)/16777216),256)/2^3),2)*MOD(INT(MOD(INT((BH6)/16777216),256)/2^3),2)*8+MOD(INT(MOD(INT((BD6)/16777216),256)/2^4),2)*MOD(INT(MOD(INT((BH6)/16777216),256)/2^4),2)*16+MOD(INT(MOD(INT((BD6)/16777216),256)/2^5),2)*MOD(INT(MOD(INT((BH6)/16777216),256)/2^5),2)*32+MOD(INT(MOD(INT((BD6)/16777216),256)/2^6),2)*MOD(INT(MOD(INT((BH6)/16777216),256)/2^6),2)*64+MOD(INT(MOD(INT((BD6)/16777216),256)/2^7),2)*MOD(INT(MOD(INT((BH6)/16777216),256)/2^7),2)*128)*16777216)</f>
        <v>2155905032</v>
      </c>
      <c r="BK6" s="24">
        <f t="shared" ref="BK6:BK37" si="58">MOD(BC6+BE6+BG6-2*BI6,4294967296)</f>
        <v>980412007</v>
      </c>
      <c r="BL6" s="24">
        <f t="shared" ref="BL6:BL37" si="59">MOD(BD6+BF6+BH6-2*BJ6,4294967296)</f>
        <v>4137478443</v>
      </c>
      <c r="BM6" s="24">
        <f>MOD(R5+AF6+BB6+'📦 Константы SHA-512'!D4+BI200,4294967296)</f>
        <v>2333599904</v>
      </c>
      <c r="BN6" s="24">
        <f>INT((R5+AF6+BB6+'📦 Константы SHA-512'!D4+BI200)/4294967296)</f>
        <v>2</v>
      </c>
      <c r="BO6" s="24">
        <f>MOD(Q5+AE6+BA6+'📦 Константы SHA-512'!C4+BH200+BN6,4294967296)</f>
        <v>3128825318</v>
      </c>
      <c r="BP6" s="24" t="s">
        <v>298</v>
      </c>
      <c r="BQ6" s="24">
        <f t="shared" ref="BQ6:BQ37" si="60">MOD(AT6+BL6,4294967296)</f>
        <v>2707748181</v>
      </c>
      <c r="BR6" s="24">
        <f t="shared" ref="BR6:BR37" si="61">INT((AT6+BL6)/4294967296)</f>
        <v>1</v>
      </c>
      <c r="BS6" s="24">
        <f t="shared" ref="BS6:BS37" si="62">MOD(AS6+BK6+BR6,4294967296)</f>
        <v>1127530942</v>
      </c>
      <c r="BU6" s="24">
        <f t="shared" ref="BU6:BU37" si="63">MOD(I5+BO6+INT((J5+BM6)/4294967296),4294967296)</f>
        <v>1607338784</v>
      </c>
      <c r="BV6" s="24">
        <f t="shared" ref="BV6:BV37" si="64">MOD(J5+BM6,4294967296)</f>
        <v>3929350033</v>
      </c>
      <c r="BW6" s="24">
        <f t="shared" ref="BW6:BW37" si="65">MOD(BO6+BS6+INT((BM6+BQ6)/4294967296),4294967296)</f>
        <v>4256356261</v>
      </c>
      <c r="BX6" s="24">
        <f t="shared" ref="BX6:BX37" si="66">MOD(BM6+BQ6,4294967296)</f>
        <v>746380789</v>
      </c>
    </row>
    <row r="7" spans="2:78" ht="12.75" customHeight="1" x14ac:dyDescent="0.25">
      <c r="B7" s="25">
        <v>2</v>
      </c>
      <c r="C7" s="26">
        <f t="shared" si="0"/>
        <v>3444353901</v>
      </c>
      <c r="D7" s="26">
        <f t="shared" si="1"/>
        <v>603681408</v>
      </c>
      <c r="E7" s="26">
        <f t="shared" si="2"/>
        <v>4256356261</v>
      </c>
      <c r="F7" s="26">
        <f t="shared" si="3"/>
        <v>746380789</v>
      </c>
      <c r="G7" s="26">
        <f t="shared" si="4"/>
        <v>1779033703</v>
      </c>
      <c r="H7" s="26">
        <f t="shared" si="5"/>
        <v>4089235720</v>
      </c>
      <c r="I7" s="26">
        <f t="shared" si="6"/>
        <v>3144134277</v>
      </c>
      <c r="J7" s="26">
        <f t="shared" si="7"/>
        <v>2227873595</v>
      </c>
      <c r="K7" s="26">
        <f t="shared" si="8"/>
        <v>1208854177</v>
      </c>
      <c r="L7" s="26">
        <f t="shared" si="9"/>
        <v>769192798</v>
      </c>
      <c r="M7" s="26">
        <f t="shared" si="10"/>
        <v>1607338784</v>
      </c>
      <c r="N7" s="26">
        <f t="shared" si="11"/>
        <v>3929350033</v>
      </c>
      <c r="O7" s="26">
        <f t="shared" si="12"/>
        <v>1359893119</v>
      </c>
      <c r="P7" s="26">
        <f t="shared" si="13"/>
        <v>2917565137</v>
      </c>
      <c r="Q7" s="26">
        <f t="shared" si="14"/>
        <v>2600822924</v>
      </c>
      <c r="R7" s="26">
        <f t="shared" si="15"/>
        <v>725511199</v>
      </c>
      <c r="S7" s="24">
        <f t="shared" si="16"/>
        <v>2118483768</v>
      </c>
      <c r="T7" s="24">
        <f t="shared" si="17"/>
        <v>746825940</v>
      </c>
      <c r="U7" s="24">
        <f t="shared" si="18"/>
        <v>1206147059</v>
      </c>
      <c r="V7" s="24">
        <f t="shared" si="19"/>
        <v>2194160269</v>
      </c>
      <c r="W7" s="24">
        <f t="shared" si="20"/>
        <v>2423593615</v>
      </c>
      <c r="X7" s="24">
        <f t="shared" si="21"/>
        <v>3366971141</v>
      </c>
      <c r="Y7" s="24">
        <f t="shared" si="22"/>
        <v>1178883888</v>
      </c>
      <c r="Z7" s="24">
        <f t="shared" si="23"/>
        <v>8398980</v>
      </c>
      <c r="AA7" s="24">
        <f t="shared" si="24"/>
        <v>966863051</v>
      </c>
      <c r="AB7" s="24">
        <f t="shared" si="25"/>
        <v>2924188249</v>
      </c>
      <c r="AC7" s="24">
        <f t="shared" si="26"/>
        <v>270600331</v>
      </c>
      <c r="AD7" s="24">
        <f t="shared" si="27"/>
        <v>2282455553</v>
      </c>
      <c r="AE7" s="24">
        <f t="shared" si="28"/>
        <v>2849256004</v>
      </c>
      <c r="AF7" s="24">
        <f t="shared" si="29"/>
        <v>1726248284</v>
      </c>
      <c r="AG7" s="24">
        <f t="shared" si="30"/>
        <v>3352158047</v>
      </c>
      <c r="AH7" s="24">
        <f t="shared" si="31"/>
        <v>3677190738</v>
      </c>
      <c r="AI7" s="24">
        <f t="shared" si="32"/>
        <v>1260337021</v>
      </c>
      <c r="AJ7" s="24">
        <f t="shared" si="33"/>
        <v>2137830889</v>
      </c>
      <c r="AK7" s="24">
        <f t="shared" si="34"/>
        <v>1247345083</v>
      </c>
      <c r="AL7" s="24">
        <f t="shared" si="35"/>
        <v>3959121327</v>
      </c>
      <c r="AM7" s="24">
        <f t="shared" si="36"/>
        <v>1124931421</v>
      </c>
      <c r="AN7" s="24">
        <f t="shared" si="37"/>
        <v>1529622592</v>
      </c>
      <c r="AO7" s="24">
        <f t="shared" si="38"/>
        <v>2362632226</v>
      </c>
      <c r="AP7" s="24">
        <f t="shared" si="39"/>
        <v>2755776443</v>
      </c>
      <c r="AQ7" s="24">
        <f t="shared" si="40"/>
        <v>139520034</v>
      </c>
      <c r="AR7" s="24">
        <f t="shared" si="41"/>
        <v>2688632235</v>
      </c>
      <c r="AS7" s="24">
        <f t="shared" si="42"/>
        <v>3330937241</v>
      </c>
      <c r="AT7" s="24">
        <f t="shared" si="43"/>
        <v>1337633300</v>
      </c>
      <c r="AU7" s="24">
        <f t="shared" si="44"/>
        <v>1359872544</v>
      </c>
      <c r="AV7" s="24">
        <f t="shared" si="45"/>
        <v>2820932241</v>
      </c>
      <c r="AW7" s="24">
        <f t="shared" si="46"/>
        <v>2147573900</v>
      </c>
      <c r="AX7" s="24">
        <f t="shared" si="47"/>
        <v>17457166</v>
      </c>
      <c r="BA7" s="24">
        <f t="shared" si="48"/>
        <v>3507446444</v>
      </c>
      <c r="BB7" s="24">
        <f t="shared" si="49"/>
        <v>2838389407</v>
      </c>
      <c r="BC7" s="24">
        <f t="shared" si="50"/>
        <v>1744881189</v>
      </c>
      <c r="BD7" s="24">
        <f t="shared" si="51"/>
        <v>540854528</v>
      </c>
      <c r="BE7" s="24">
        <f t="shared" si="52"/>
        <v>3106047621</v>
      </c>
      <c r="BF7" s="24">
        <f t="shared" si="53"/>
        <v>71861553</v>
      </c>
      <c r="BG7" s="24">
        <f t="shared" si="54"/>
        <v>704751109</v>
      </c>
      <c r="BH7" s="24">
        <f t="shared" si="55"/>
        <v>2156429576</v>
      </c>
      <c r="BI7" s="24">
        <f t="shared" si="56"/>
        <v>671122949</v>
      </c>
      <c r="BJ7" s="24">
        <f t="shared" si="57"/>
        <v>557312</v>
      </c>
      <c r="BK7" s="24">
        <f t="shared" si="58"/>
        <v>4213434021</v>
      </c>
      <c r="BL7" s="24">
        <f t="shared" si="59"/>
        <v>2768031033</v>
      </c>
      <c r="BM7" s="24">
        <f>MOD(R6+AF7+BB7+'📦 Константы SHA-512'!D5+BI201,4294967296)</f>
        <v>792984371</v>
      </c>
      <c r="BN7" s="24">
        <f>INT((R6+AF7+BB7+'📦 Константы SHA-512'!D5+BI201)/4294967296)</f>
        <v>2</v>
      </c>
      <c r="BO7" s="24">
        <f>MOD(Q6+AE7+BA7+'📦 Константы SHA-512'!C5+BH201+BN7,4294967296)</f>
        <v>194949934</v>
      </c>
      <c r="BP7" s="24" t="s">
        <v>299</v>
      </c>
      <c r="BQ7" s="24">
        <f t="shared" si="60"/>
        <v>4105664333</v>
      </c>
      <c r="BR7" s="24">
        <f t="shared" si="61"/>
        <v>0</v>
      </c>
      <c r="BS7" s="24">
        <f t="shared" si="62"/>
        <v>3249403966</v>
      </c>
      <c r="BU7" s="24">
        <f t="shared" si="63"/>
        <v>1208854177</v>
      </c>
      <c r="BV7" s="24">
        <f t="shared" si="64"/>
        <v>769192798</v>
      </c>
      <c r="BW7" s="24">
        <f t="shared" si="65"/>
        <v>3444353901</v>
      </c>
      <c r="BX7" s="24">
        <f t="shared" si="66"/>
        <v>603681408</v>
      </c>
    </row>
    <row r="8" spans="2:78" ht="12.75" customHeight="1" x14ac:dyDescent="0.25">
      <c r="B8" s="27">
        <v>3</v>
      </c>
      <c r="C8" s="28">
        <f t="shared" si="0"/>
        <v>3844341462</v>
      </c>
      <c r="D8" s="28">
        <f t="shared" si="1"/>
        <v>634033284</v>
      </c>
      <c r="E8" s="28">
        <f t="shared" si="2"/>
        <v>3444353901</v>
      </c>
      <c r="F8" s="28">
        <f t="shared" si="3"/>
        <v>603681408</v>
      </c>
      <c r="G8" s="28">
        <f t="shared" si="4"/>
        <v>4256356261</v>
      </c>
      <c r="H8" s="28">
        <f t="shared" si="5"/>
        <v>746380789</v>
      </c>
      <c r="I8" s="28">
        <f t="shared" si="6"/>
        <v>1779033703</v>
      </c>
      <c r="J8" s="28">
        <f t="shared" si="7"/>
        <v>4089235720</v>
      </c>
      <c r="K8" s="28">
        <f t="shared" si="8"/>
        <v>108315564</v>
      </c>
      <c r="L8" s="28">
        <f t="shared" si="9"/>
        <v>2694143200</v>
      </c>
      <c r="M8" s="28">
        <f t="shared" si="10"/>
        <v>1208854177</v>
      </c>
      <c r="N8" s="28">
        <f t="shared" si="11"/>
        <v>769192798</v>
      </c>
      <c r="O8" s="28">
        <f t="shared" si="12"/>
        <v>1607338784</v>
      </c>
      <c r="P8" s="28">
        <f t="shared" si="13"/>
        <v>3929350033</v>
      </c>
      <c r="Q8" s="28">
        <f t="shared" si="14"/>
        <v>1359893119</v>
      </c>
      <c r="R8" s="28">
        <f t="shared" si="15"/>
        <v>2917565137</v>
      </c>
      <c r="S8" s="24">
        <f t="shared" si="16"/>
        <v>3447267382</v>
      </c>
      <c r="T8" s="24">
        <f t="shared" si="17"/>
        <v>2592388963</v>
      </c>
      <c r="U8" s="24">
        <f t="shared" si="18"/>
        <v>1020760579</v>
      </c>
      <c r="V8" s="24">
        <f t="shared" si="19"/>
        <v>1772637046</v>
      </c>
      <c r="W8" s="24">
        <f t="shared" si="20"/>
        <v>1352068217</v>
      </c>
      <c r="X8" s="24">
        <f t="shared" si="21"/>
        <v>2938373843</v>
      </c>
      <c r="Y8" s="24">
        <f t="shared" si="22"/>
        <v>206635010</v>
      </c>
      <c r="Z8" s="24">
        <f t="shared" si="23"/>
        <v>142607202</v>
      </c>
      <c r="AA8" s="24">
        <f t="shared" si="24"/>
        <v>4054757941</v>
      </c>
      <c r="AB8" s="24">
        <f t="shared" si="25"/>
        <v>4079811605</v>
      </c>
      <c r="AC8" s="24">
        <f t="shared" si="26"/>
        <v>1351000113</v>
      </c>
      <c r="AD8" s="24">
        <f t="shared" si="27"/>
        <v>2737046545</v>
      </c>
      <c r="AE8" s="24">
        <f t="shared" si="28"/>
        <v>2704825932</v>
      </c>
      <c r="AF8" s="24">
        <f t="shared" si="29"/>
        <v>1544092358</v>
      </c>
      <c r="AG8" s="24">
        <f t="shared" si="30"/>
        <v>1068967948</v>
      </c>
      <c r="AH8" s="24">
        <f t="shared" si="31"/>
        <v>3570054866</v>
      </c>
      <c r="AI8" s="24">
        <f t="shared" si="32"/>
        <v>1224662176</v>
      </c>
      <c r="AJ8" s="24">
        <f t="shared" si="33"/>
        <v>861088475</v>
      </c>
      <c r="AK8" s="24">
        <f t="shared" si="34"/>
        <v>3662149349</v>
      </c>
      <c r="AL8" s="24">
        <f t="shared" si="35"/>
        <v>26909014</v>
      </c>
      <c r="AM8" s="24">
        <f t="shared" si="36"/>
        <v>146147328</v>
      </c>
      <c r="AN8" s="24">
        <f t="shared" si="37"/>
        <v>272769746</v>
      </c>
      <c r="AO8" s="24">
        <f t="shared" si="38"/>
        <v>2001335468</v>
      </c>
      <c r="AP8" s="24">
        <f t="shared" si="39"/>
        <v>3885603849</v>
      </c>
      <c r="AQ8" s="24">
        <f t="shared" si="40"/>
        <v>1380054180</v>
      </c>
      <c r="AR8" s="24">
        <f t="shared" si="41"/>
        <v>26777600</v>
      </c>
      <c r="AS8" s="24">
        <f t="shared" si="42"/>
        <v>2903376457</v>
      </c>
      <c r="AT8" s="24">
        <f t="shared" si="43"/>
        <v>3858957663</v>
      </c>
      <c r="AU8" s="24">
        <f t="shared" si="44"/>
        <v>1208746528</v>
      </c>
      <c r="AV8" s="24">
        <f t="shared" si="45"/>
        <v>672142096</v>
      </c>
      <c r="AW8" s="24">
        <f t="shared" si="46"/>
        <v>285364318</v>
      </c>
      <c r="AX8" s="24">
        <f t="shared" si="47"/>
        <v>2149974145</v>
      </c>
      <c r="BA8" s="24">
        <f t="shared" si="48"/>
        <v>1494110846</v>
      </c>
      <c r="BB8" s="24">
        <f t="shared" si="49"/>
        <v>2822116241</v>
      </c>
      <c r="BC8" s="24">
        <f t="shared" si="50"/>
        <v>3439362853</v>
      </c>
      <c r="BD8" s="24">
        <f t="shared" si="51"/>
        <v>544755840</v>
      </c>
      <c r="BE8" s="24">
        <f t="shared" si="52"/>
        <v>1208525413</v>
      </c>
      <c r="BF8" s="24">
        <f t="shared" si="53"/>
        <v>599277568</v>
      </c>
      <c r="BG8" s="24">
        <f t="shared" si="54"/>
        <v>1744881189</v>
      </c>
      <c r="BH8" s="24">
        <f t="shared" si="55"/>
        <v>540854528</v>
      </c>
      <c r="BI8" s="24">
        <f t="shared" si="56"/>
        <v>1207992869</v>
      </c>
      <c r="BJ8" s="24">
        <f t="shared" si="57"/>
        <v>540557312</v>
      </c>
      <c r="BK8" s="24">
        <f t="shared" si="58"/>
        <v>3976783717</v>
      </c>
      <c r="BL8" s="24">
        <f t="shared" si="59"/>
        <v>603773312</v>
      </c>
      <c r="BM8" s="24">
        <f>MOD(R7+AF8+BB8+'📦 Константы SHA-512'!D6+BI202,4294967296)</f>
        <v>466269605</v>
      </c>
      <c r="BN8" s="24">
        <f>INT((R7+AF8+BB8+'📦 Константы SHA-512'!D6+BI202)/4294967296)</f>
        <v>2</v>
      </c>
      <c r="BO8" s="24">
        <f>MOD(Q7+AE8+BA8+'📦 Константы SHA-512'!C6+BH202+BN8,4294967296)</f>
        <v>1259148583</v>
      </c>
      <c r="BP8" s="24" t="s">
        <v>300</v>
      </c>
      <c r="BQ8" s="24">
        <f t="shared" si="60"/>
        <v>167763679</v>
      </c>
      <c r="BR8" s="24">
        <f t="shared" si="61"/>
        <v>1</v>
      </c>
      <c r="BS8" s="24">
        <f t="shared" si="62"/>
        <v>2585192879</v>
      </c>
      <c r="BU8" s="24">
        <f t="shared" si="63"/>
        <v>108315564</v>
      </c>
      <c r="BV8" s="24">
        <f t="shared" si="64"/>
        <v>2694143200</v>
      </c>
      <c r="BW8" s="24">
        <f t="shared" si="65"/>
        <v>3844341462</v>
      </c>
      <c r="BX8" s="24">
        <f t="shared" si="66"/>
        <v>634033284</v>
      </c>
    </row>
    <row r="9" spans="2:78" ht="12.75" customHeight="1" x14ac:dyDescent="0.25">
      <c r="B9" s="29">
        <v>4</v>
      </c>
      <c r="C9" s="30">
        <f t="shared" si="0"/>
        <v>3991831505</v>
      </c>
      <c r="D9" s="30">
        <f t="shared" si="1"/>
        <v>1899195293</v>
      </c>
      <c r="E9" s="30">
        <f t="shared" si="2"/>
        <v>3844341462</v>
      </c>
      <c r="F9" s="30">
        <f t="shared" si="3"/>
        <v>634033284</v>
      </c>
      <c r="G9" s="30">
        <f t="shared" si="4"/>
        <v>3444353901</v>
      </c>
      <c r="H9" s="30">
        <f t="shared" si="5"/>
        <v>603681408</v>
      </c>
      <c r="I9" s="30">
        <f t="shared" si="6"/>
        <v>4256356261</v>
      </c>
      <c r="J9" s="30">
        <f t="shared" si="7"/>
        <v>746380789</v>
      </c>
      <c r="K9" s="30">
        <f t="shared" si="8"/>
        <v>4047827469</v>
      </c>
      <c r="L9" s="30">
        <f t="shared" si="9"/>
        <v>3694660343</v>
      </c>
      <c r="M9" s="30">
        <f t="shared" si="10"/>
        <v>108315564</v>
      </c>
      <c r="N9" s="30">
        <f t="shared" si="11"/>
        <v>2694143200</v>
      </c>
      <c r="O9" s="30">
        <f t="shared" si="12"/>
        <v>1208854177</v>
      </c>
      <c r="P9" s="30">
        <f t="shared" si="13"/>
        <v>769192798</v>
      </c>
      <c r="Q9" s="30">
        <f t="shared" si="14"/>
        <v>1607338784</v>
      </c>
      <c r="R9" s="30">
        <f t="shared" si="15"/>
        <v>3929350033</v>
      </c>
      <c r="S9" s="24">
        <f t="shared" si="16"/>
        <v>1937775059</v>
      </c>
      <c r="T9" s="24">
        <f t="shared" si="17"/>
        <v>246579797</v>
      </c>
      <c r="U9" s="24">
        <f t="shared" si="18"/>
        <v>1463288221</v>
      </c>
      <c r="V9" s="24">
        <f t="shared" si="19"/>
        <v>820717605</v>
      </c>
      <c r="W9" s="24">
        <f t="shared" si="20"/>
        <v>3595586222</v>
      </c>
      <c r="X9" s="24">
        <f t="shared" si="21"/>
        <v>1879259745</v>
      </c>
      <c r="Y9" s="24">
        <f t="shared" si="22"/>
        <v>1392509329</v>
      </c>
      <c r="Z9" s="24">
        <f t="shared" si="23"/>
        <v>10616837</v>
      </c>
      <c r="AA9" s="24">
        <f t="shared" si="24"/>
        <v>616044622</v>
      </c>
      <c r="AB9" s="24">
        <f t="shared" si="25"/>
        <v>1046063728</v>
      </c>
      <c r="AC9" s="24">
        <f t="shared" si="26"/>
        <v>68159502</v>
      </c>
      <c r="AD9" s="24">
        <f t="shared" si="27"/>
        <v>805382752</v>
      </c>
      <c r="AE9" s="24">
        <f t="shared" si="28"/>
        <v>4075311840</v>
      </c>
      <c r="AF9" s="24">
        <f t="shared" si="29"/>
        <v>1314557969</v>
      </c>
      <c r="AG9" s="24">
        <f t="shared" si="30"/>
        <v>1554597966</v>
      </c>
      <c r="AH9" s="24">
        <f t="shared" si="31"/>
        <v>1379921250</v>
      </c>
      <c r="AI9" s="24">
        <f t="shared" si="32"/>
        <v>2305991969</v>
      </c>
      <c r="AJ9" s="24">
        <f t="shared" si="33"/>
        <v>961085365</v>
      </c>
      <c r="AK9" s="24">
        <f t="shared" si="34"/>
        <v>2890634537</v>
      </c>
      <c r="AL9" s="24">
        <f t="shared" si="35"/>
        <v>164251645</v>
      </c>
      <c r="AM9" s="24">
        <f t="shared" si="36"/>
        <v>136314880</v>
      </c>
      <c r="AN9" s="24">
        <f t="shared" si="37"/>
        <v>269020448</v>
      </c>
      <c r="AO9" s="24">
        <f t="shared" si="38"/>
        <v>3587960175</v>
      </c>
      <c r="AP9" s="24">
        <f t="shared" si="39"/>
        <v>1802965719</v>
      </c>
      <c r="AQ9" s="24">
        <f t="shared" si="40"/>
        <v>2219541801</v>
      </c>
      <c r="AR9" s="24">
        <f t="shared" si="41"/>
        <v>155321045</v>
      </c>
      <c r="AS9" s="24">
        <f t="shared" si="42"/>
        <v>2039511110</v>
      </c>
      <c r="AT9" s="24">
        <f t="shared" si="43"/>
        <v>1656575274</v>
      </c>
      <c r="AU9" s="24">
        <f t="shared" si="44"/>
        <v>295584</v>
      </c>
      <c r="AV9" s="24">
        <f t="shared" si="45"/>
        <v>546328640</v>
      </c>
      <c r="AW9" s="24">
        <f t="shared" si="46"/>
        <v>1502218240</v>
      </c>
      <c r="AX9" s="24">
        <f t="shared" si="47"/>
        <v>1243611921</v>
      </c>
      <c r="BA9" s="24">
        <f t="shared" si="48"/>
        <v>1502513824</v>
      </c>
      <c r="BB9" s="24">
        <f t="shared" si="49"/>
        <v>1789940561</v>
      </c>
      <c r="BC9" s="24">
        <f t="shared" si="50"/>
        <v>3305155140</v>
      </c>
      <c r="BD9" s="24">
        <f t="shared" si="51"/>
        <v>566890624</v>
      </c>
      <c r="BE9" s="24">
        <f t="shared" si="52"/>
        <v>3844265604</v>
      </c>
      <c r="BF9" s="24">
        <f t="shared" si="53"/>
        <v>608736388</v>
      </c>
      <c r="BG9" s="24">
        <f t="shared" si="54"/>
        <v>3439362853</v>
      </c>
      <c r="BH9" s="24">
        <f t="shared" si="55"/>
        <v>544755840</v>
      </c>
      <c r="BI9" s="24">
        <f t="shared" si="56"/>
        <v>3305144836</v>
      </c>
      <c r="BJ9" s="24">
        <f t="shared" si="57"/>
        <v>541593728</v>
      </c>
      <c r="BK9" s="24">
        <f t="shared" si="58"/>
        <v>3978493925</v>
      </c>
      <c r="BL9" s="24">
        <f t="shared" si="59"/>
        <v>637195396</v>
      </c>
      <c r="BM9" s="24">
        <f>MOD(R8+AF9+BB9+'📦 Константы SHA-512'!D7+BI203,4294967296)</f>
        <v>3900391919</v>
      </c>
      <c r="BN9" s="24">
        <f>INT((R8+AF9+BB9+'📦 Константы SHA-512'!D7+BI203)/4294967296)</f>
        <v>1</v>
      </c>
      <c r="BO9" s="24">
        <f>MOD(Q8+AE9+BA9+'📦 Константы SHA-512'!C7+BH203+BN9,4294967296)</f>
        <v>2268793765</v>
      </c>
      <c r="BP9" s="24" t="s">
        <v>301</v>
      </c>
      <c r="BQ9" s="24">
        <f t="shared" si="60"/>
        <v>2293770670</v>
      </c>
      <c r="BR9" s="24">
        <f t="shared" si="61"/>
        <v>0</v>
      </c>
      <c r="BS9" s="24">
        <f t="shared" si="62"/>
        <v>1723037739</v>
      </c>
      <c r="BU9" s="24">
        <f t="shared" si="63"/>
        <v>4047827469</v>
      </c>
      <c r="BV9" s="24">
        <f t="shared" si="64"/>
        <v>3694660343</v>
      </c>
      <c r="BW9" s="24">
        <f t="shared" si="65"/>
        <v>3991831505</v>
      </c>
      <c r="BX9" s="24">
        <f t="shared" si="66"/>
        <v>1899195293</v>
      </c>
    </row>
    <row r="10" spans="2:78" ht="12.75" customHeight="1" x14ac:dyDescent="0.25">
      <c r="B10" s="31">
        <v>5</v>
      </c>
      <c r="C10" s="32">
        <f t="shared" si="0"/>
        <v>2886036276</v>
      </c>
      <c r="D10" s="32">
        <f t="shared" si="1"/>
        <v>3470731184</v>
      </c>
      <c r="E10" s="32">
        <f t="shared" si="2"/>
        <v>3991831505</v>
      </c>
      <c r="F10" s="32">
        <f t="shared" si="3"/>
        <v>1899195293</v>
      </c>
      <c r="G10" s="32">
        <f t="shared" si="4"/>
        <v>3844341462</v>
      </c>
      <c r="H10" s="32">
        <f t="shared" si="5"/>
        <v>634033284</v>
      </c>
      <c r="I10" s="32">
        <f t="shared" si="6"/>
        <v>3444353901</v>
      </c>
      <c r="J10" s="32">
        <f t="shared" si="7"/>
        <v>603681408</v>
      </c>
      <c r="K10" s="32">
        <f t="shared" si="8"/>
        <v>3467743510</v>
      </c>
      <c r="L10" s="32">
        <f t="shared" si="9"/>
        <v>991449661</v>
      </c>
      <c r="M10" s="32">
        <f t="shared" si="10"/>
        <v>4047827469</v>
      </c>
      <c r="N10" s="32">
        <f t="shared" si="11"/>
        <v>3694660343</v>
      </c>
      <c r="O10" s="32">
        <f t="shared" si="12"/>
        <v>108315564</v>
      </c>
      <c r="P10" s="32">
        <f t="shared" si="13"/>
        <v>2694143200</v>
      </c>
      <c r="Q10" s="32">
        <f t="shared" si="14"/>
        <v>1208854177</v>
      </c>
      <c r="R10" s="32">
        <f t="shared" si="15"/>
        <v>769192798</v>
      </c>
      <c r="S10" s="24">
        <f t="shared" si="16"/>
        <v>736085267</v>
      </c>
      <c r="T10" s="24">
        <f t="shared" si="17"/>
        <v>3359076576</v>
      </c>
      <c r="U10" s="24">
        <f t="shared" si="18"/>
        <v>46005329</v>
      </c>
      <c r="V10" s="24">
        <f t="shared" si="19"/>
        <v>1015248654</v>
      </c>
      <c r="W10" s="24">
        <f t="shared" si="20"/>
        <v>116268037</v>
      </c>
      <c r="X10" s="24">
        <f t="shared" si="21"/>
        <v>2079892089</v>
      </c>
      <c r="Y10" s="24">
        <f t="shared" si="22"/>
        <v>43893777</v>
      </c>
      <c r="Z10" s="24">
        <f t="shared" si="23"/>
        <v>134443008</v>
      </c>
      <c r="AA10" s="24">
        <f t="shared" si="24"/>
        <v>694303042</v>
      </c>
      <c r="AB10" s="24">
        <f t="shared" si="25"/>
        <v>4105439214</v>
      </c>
      <c r="AC10" s="24">
        <f t="shared" si="26"/>
        <v>6428672</v>
      </c>
      <c r="AD10" s="24">
        <f t="shared" si="27"/>
        <v>1890583144</v>
      </c>
      <c r="AE10" s="24">
        <f t="shared" si="28"/>
        <v>797713735</v>
      </c>
      <c r="AF10" s="24">
        <f t="shared" si="29"/>
        <v>2404165015</v>
      </c>
      <c r="AG10" s="24">
        <f t="shared" si="30"/>
        <v>322353630</v>
      </c>
      <c r="AH10" s="24">
        <f t="shared" si="31"/>
        <v>3739761943</v>
      </c>
      <c r="AI10" s="24">
        <f t="shared" si="32"/>
        <v>1548540647</v>
      </c>
      <c r="AJ10" s="24">
        <f t="shared" si="33"/>
        <v>2071699700</v>
      </c>
      <c r="AK10" s="24">
        <f t="shared" si="34"/>
        <v>2732746455</v>
      </c>
      <c r="AL10" s="24">
        <f t="shared" si="35"/>
        <v>1004264711</v>
      </c>
      <c r="AM10" s="24">
        <f t="shared" si="36"/>
        <v>268736710</v>
      </c>
      <c r="AN10" s="24">
        <f t="shared" si="37"/>
        <v>1516773396</v>
      </c>
      <c r="AO10" s="24">
        <f t="shared" si="38"/>
        <v>1333420857</v>
      </c>
      <c r="AP10" s="24">
        <f t="shared" si="39"/>
        <v>2777914851</v>
      </c>
      <c r="AQ10" s="24">
        <f t="shared" si="40"/>
        <v>40002065</v>
      </c>
      <c r="AR10" s="24">
        <f t="shared" si="41"/>
        <v>563322115</v>
      </c>
      <c r="AS10" s="24">
        <f t="shared" si="42"/>
        <v>3986163182</v>
      </c>
      <c r="AT10" s="24">
        <f t="shared" si="43"/>
        <v>2655535332</v>
      </c>
      <c r="AU10" s="24">
        <f t="shared" si="44"/>
        <v>4506124</v>
      </c>
      <c r="AV10" s="24">
        <f t="shared" si="45"/>
        <v>2148534496</v>
      </c>
      <c r="AW10" s="24">
        <f t="shared" si="46"/>
        <v>134808736</v>
      </c>
      <c r="AX10" s="24">
        <f t="shared" si="47"/>
        <v>566292744</v>
      </c>
      <c r="BA10" s="24">
        <f t="shared" si="48"/>
        <v>139314860</v>
      </c>
      <c r="BB10" s="24">
        <f t="shared" si="49"/>
        <v>2714827240</v>
      </c>
      <c r="BC10" s="24">
        <f t="shared" si="50"/>
        <v>3844244176</v>
      </c>
      <c r="BD10" s="24">
        <f t="shared" si="51"/>
        <v>553779332</v>
      </c>
      <c r="BE10" s="24">
        <f t="shared" si="52"/>
        <v>3444343617</v>
      </c>
      <c r="BF10" s="24">
        <f t="shared" si="53"/>
        <v>557015680</v>
      </c>
      <c r="BG10" s="24">
        <f t="shared" si="54"/>
        <v>3305155140</v>
      </c>
      <c r="BH10" s="24">
        <f t="shared" si="55"/>
        <v>566890624</v>
      </c>
      <c r="BI10" s="24">
        <f t="shared" si="56"/>
        <v>3305144896</v>
      </c>
      <c r="BJ10" s="24">
        <f t="shared" si="57"/>
        <v>553779328</v>
      </c>
      <c r="BK10" s="24">
        <f t="shared" si="58"/>
        <v>3983453141</v>
      </c>
      <c r="BL10" s="24">
        <f t="shared" si="59"/>
        <v>570126980</v>
      </c>
      <c r="BM10" s="24">
        <f>MOD(R9+AF10+BB10+'📦 Константы SHA-512'!D8+BI204,4294967296)</f>
        <v>245068872</v>
      </c>
      <c r="BN10" s="24">
        <f>INT((R9+AF10+BB10+'📦 Константы SHA-512'!D8+BI204)/4294967296)</f>
        <v>3</v>
      </c>
      <c r="BO10" s="24">
        <f>MOD(Q9+AE10+BA10+'📦 Константы SHA-512'!C8+BH204+BN10,4294967296)</f>
        <v>3506354545</v>
      </c>
      <c r="BP10" s="24" t="s">
        <v>302</v>
      </c>
      <c r="BQ10" s="24">
        <f t="shared" si="60"/>
        <v>3225662312</v>
      </c>
      <c r="BR10" s="24">
        <f t="shared" si="61"/>
        <v>0</v>
      </c>
      <c r="BS10" s="24">
        <f t="shared" si="62"/>
        <v>3674649027</v>
      </c>
      <c r="BU10" s="24">
        <f t="shared" si="63"/>
        <v>3467743510</v>
      </c>
      <c r="BV10" s="24">
        <f t="shared" si="64"/>
        <v>991449661</v>
      </c>
      <c r="BW10" s="24">
        <f t="shared" si="65"/>
        <v>2886036276</v>
      </c>
      <c r="BX10" s="24">
        <f t="shared" si="66"/>
        <v>3470731184</v>
      </c>
    </row>
    <row r="11" spans="2:78" ht="12.75" customHeight="1" x14ac:dyDescent="0.25">
      <c r="B11" s="33">
        <v>6</v>
      </c>
      <c r="C11" s="34">
        <f t="shared" si="0"/>
        <v>3735636224</v>
      </c>
      <c r="D11" s="34">
        <f t="shared" si="1"/>
        <v>2875267014</v>
      </c>
      <c r="E11" s="34">
        <f t="shared" si="2"/>
        <v>2886036276</v>
      </c>
      <c r="F11" s="34">
        <f t="shared" si="3"/>
        <v>3470731184</v>
      </c>
      <c r="G11" s="34">
        <f t="shared" si="4"/>
        <v>3991831505</v>
      </c>
      <c r="H11" s="34">
        <f t="shared" si="5"/>
        <v>1899195293</v>
      </c>
      <c r="I11" s="34">
        <f t="shared" si="6"/>
        <v>3844341462</v>
      </c>
      <c r="J11" s="34">
        <f t="shared" si="7"/>
        <v>634033284</v>
      </c>
      <c r="K11" s="34">
        <f t="shared" si="8"/>
        <v>116784111</v>
      </c>
      <c r="L11" s="34">
        <f t="shared" si="9"/>
        <v>3748757339</v>
      </c>
      <c r="M11" s="34">
        <f t="shared" si="10"/>
        <v>3467743510</v>
      </c>
      <c r="N11" s="34">
        <f t="shared" si="11"/>
        <v>991449661</v>
      </c>
      <c r="O11" s="34">
        <f t="shared" si="12"/>
        <v>4047827469</v>
      </c>
      <c r="P11" s="34">
        <f t="shared" si="13"/>
        <v>3694660343</v>
      </c>
      <c r="Q11" s="34">
        <f t="shared" si="14"/>
        <v>108315564</v>
      </c>
      <c r="R11" s="34">
        <f t="shared" si="15"/>
        <v>2694143200</v>
      </c>
      <c r="S11" s="24">
        <f t="shared" si="16"/>
        <v>1224161990</v>
      </c>
      <c r="T11" s="24">
        <f t="shared" si="17"/>
        <v>1146678369</v>
      </c>
      <c r="U11" s="24">
        <f t="shared" si="18"/>
        <v>344945580</v>
      </c>
      <c r="V11" s="24">
        <f t="shared" si="19"/>
        <v>1682280134</v>
      </c>
      <c r="W11" s="24">
        <f t="shared" si="20"/>
        <v>2333969449</v>
      </c>
      <c r="X11" s="24">
        <f t="shared" si="21"/>
        <v>518478024</v>
      </c>
      <c r="Y11" s="24">
        <f t="shared" si="22"/>
        <v>8860292</v>
      </c>
      <c r="Z11" s="24">
        <f t="shared" si="23"/>
        <v>1145080896</v>
      </c>
      <c r="AA11" s="24">
        <f t="shared" si="24"/>
        <v>1551386986</v>
      </c>
      <c r="AB11" s="24">
        <f t="shared" si="25"/>
        <v>538796711</v>
      </c>
      <c r="AC11" s="24">
        <f t="shared" si="26"/>
        <v>135792680</v>
      </c>
      <c r="AD11" s="24">
        <f t="shared" si="27"/>
        <v>344192</v>
      </c>
      <c r="AE11" s="24">
        <f t="shared" si="28"/>
        <v>3613771075</v>
      </c>
      <c r="AF11" s="24">
        <f t="shared" si="29"/>
        <v>1056586351</v>
      </c>
      <c r="AG11" s="24">
        <f t="shared" si="30"/>
        <v>3992091402</v>
      </c>
      <c r="AH11" s="24">
        <f t="shared" si="31"/>
        <v>3226907468</v>
      </c>
      <c r="AI11" s="24">
        <f t="shared" si="32"/>
        <v>867682796</v>
      </c>
      <c r="AJ11" s="24">
        <f t="shared" si="33"/>
        <v>721509069</v>
      </c>
      <c r="AK11" s="24">
        <f t="shared" si="34"/>
        <v>1771945551</v>
      </c>
      <c r="AL11" s="24">
        <f t="shared" si="35"/>
        <v>1633159894</v>
      </c>
      <c r="AM11" s="24">
        <f t="shared" si="36"/>
        <v>565332232</v>
      </c>
      <c r="AN11" s="24">
        <f t="shared" si="37"/>
        <v>4684</v>
      </c>
      <c r="AO11" s="24">
        <f t="shared" si="38"/>
        <v>3729109734</v>
      </c>
      <c r="AP11" s="24">
        <f t="shared" si="39"/>
        <v>3948407169</v>
      </c>
      <c r="AQ11" s="24">
        <f t="shared" si="40"/>
        <v>1208332870</v>
      </c>
      <c r="AR11" s="24">
        <f t="shared" si="41"/>
        <v>1632635008</v>
      </c>
      <c r="AS11" s="24">
        <f t="shared" si="42"/>
        <v>3084389545</v>
      </c>
      <c r="AT11" s="24">
        <f t="shared" si="43"/>
        <v>2316297047</v>
      </c>
      <c r="AU11" s="24">
        <f t="shared" si="44"/>
        <v>3221262340</v>
      </c>
      <c r="AV11" s="24">
        <f t="shared" si="45"/>
        <v>404226613</v>
      </c>
      <c r="AW11" s="24">
        <f t="shared" si="46"/>
        <v>4473512</v>
      </c>
      <c r="AX11" s="24">
        <f t="shared" si="47"/>
        <v>2156203200</v>
      </c>
      <c r="BA11" s="24">
        <f t="shared" si="48"/>
        <v>3225735852</v>
      </c>
      <c r="BB11" s="24">
        <f t="shared" si="49"/>
        <v>2560429813</v>
      </c>
      <c r="BC11" s="24">
        <f t="shared" si="50"/>
        <v>2885944080</v>
      </c>
      <c r="BD11" s="24">
        <f t="shared" si="51"/>
        <v>1074996112</v>
      </c>
      <c r="BE11" s="24">
        <f t="shared" si="52"/>
        <v>2751556116</v>
      </c>
      <c r="BF11" s="24">
        <f t="shared" si="53"/>
        <v>80348288</v>
      </c>
      <c r="BG11" s="24">
        <f t="shared" si="54"/>
        <v>3844244176</v>
      </c>
      <c r="BH11" s="24">
        <f t="shared" si="55"/>
        <v>553779332</v>
      </c>
      <c r="BI11" s="24">
        <f t="shared" si="56"/>
        <v>2751463952</v>
      </c>
      <c r="BJ11" s="24">
        <f t="shared" si="57"/>
        <v>131200</v>
      </c>
      <c r="BK11" s="24">
        <f t="shared" si="58"/>
        <v>3978816468</v>
      </c>
      <c r="BL11" s="24">
        <f t="shared" si="59"/>
        <v>1708861332</v>
      </c>
      <c r="BM11" s="24">
        <f>MOD(R10+AF11+BB11+'📦 Константы SHA-512'!D9+BI205,4294967296)</f>
        <v>3145075931</v>
      </c>
      <c r="BN11" s="24">
        <f>INT((R10+AF11+BB11+'📦 Константы SHA-512'!D9+BI205)/4294967296)</f>
        <v>1</v>
      </c>
      <c r="BO11" s="24">
        <f>MOD(Q10+AE11+BA11+'📦 Константы SHA-512'!C9+BH205+BN11,4294967296)</f>
        <v>967397506</v>
      </c>
      <c r="BP11" s="24" t="s">
        <v>303</v>
      </c>
      <c r="BQ11" s="24">
        <f t="shared" si="60"/>
        <v>4025158379</v>
      </c>
      <c r="BR11" s="24">
        <f t="shared" si="61"/>
        <v>0</v>
      </c>
      <c r="BS11" s="24">
        <f t="shared" si="62"/>
        <v>2768238717</v>
      </c>
      <c r="BU11" s="24">
        <f t="shared" si="63"/>
        <v>116784111</v>
      </c>
      <c r="BV11" s="24">
        <f t="shared" si="64"/>
        <v>3748757339</v>
      </c>
      <c r="BW11" s="24">
        <f t="shared" si="65"/>
        <v>3735636224</v>
      </c>
      <c r="BX11" s="24">
        <f t="shared" si="66"/>
        <v>2875267014</v>
      </c>
    </row>
    <row r="12" spans="2:78" ht="12.75" customHeight="1" x14ac:dyDescent="0.25">
      <c r="B12" s="35">
        <v>7</v>
      </c>
      <c r="C12" s="36">
        <f t="shared" si="0"/>
        <v>1879605489</v>
      </c>
      <c r="D12" s="36">
        <f t="shared" si="1"/>
        <v>1669703816</v>
      </c>
      <c r="E12" s="36">
        <f t="shared" si="2"/>
        <v>3735636224</v>
      </c>
      <c r="F12" s="36">
        <f t="shared" si="3"/>
        <v>2875267014</v>
      </c>
      <c r="G12" s="36">
        <f t="shared" si="4"/>
        <v>2886036276</v>
      </c>
      <c r="H12" s="36">
        <f t="shared" si="5"/>
        <v>3470731184</v>
      </c>
      <c r="I12" s="36">
        <f t="shared" si="6"/>
        <v>3991831505</v>
      </c>
      <c r="J12" s="36">
        <f t="shared" si="7"/>
        <v>1899195293</v>
      </c>
      <c r="K12" s="36">
        <f t="shared" si="8"/>
        <v>3403626754</v>
      </c>
      <c r="L12" s="36">
        <f t="shared" si="9"/>
        <v>3445195936</v>
      </c>
      <c r="M12" s="36">
        <f t="shared" si="10"/>
        <v>116784111</v>
      </c>
      <c r="N12" s="36">
        <f t="shared" si="11"/>
        <v>3748757339</v>
      </c>
      <c r="O12" s="36">
        <f t="shared" si="12"/>
        <v>3467743510</v>
      </c>
      <c r="P12" s="36">
        <f t="shared" si="13"/>
        <v>991449661</v>
      </c>
      <c r="Q12" s="36">
        <f t="shared" si="14"/>
        <v>4047827469</v>
      </c>
      <c r="R12" s="36">
        <f t="shared" si="15"/>
        <v>3694660343</v>
      </c>
      <c r="S12" s="24">
        <f t="shared" si="16"/>
        <v>4251720663</v>
      </c>
      <c r="T12" s="24">
        <f t="shared" si="17"/>
        <v>4022304197</v>
      </c>
      <c r="U12" s="24">
        <f t="shared" si="18"/>
        <v>1607909821</v>
      </c>
      <c r="V12" s="24">
        <f t="shared" si="19"/>
        <v>2130442204</v>
      </c>
      <c r="W12" s="24">
        <f t="shared" si="20"/>
        <v>4159682751</v>
      </c>
      <c r="X12" s="24">
        <f t="shared" si="21"/>
        <v>2911075069</v>
      </c>
      <c r="Y12" s="24">
        <f t="shared" si="22"/>
        <v>1564737941</v>
      </c>
      <c r="Z12" s="24">
        <f t="shared" si="23"/>
        <v>1857779140</v>
      </c>
      <c r="AA12" s="24">
        <f t="shared" si="24"/>
        <v>2730154602</v>
      </c>
      <c r="AB12" s="24">
        <f t="shared" si="25"/>
        <v>2437188121</v>
      </c>
      <c r="AC12" s="24">
        <f t="shared" si="26"/>
        <v>2729089066</v>
      </c>
      <c r="AD12" s="24">
        <f t="shared" si="27"/>
        <v>2164263449</v>
      </c>
      <c r="AE12" s="24">
        <f t="shared" si="28"/>
        <v>1431659221</v>
      </c>
      <c r="AF12" s="24">
        <f t="shared" si="29"/>
        <v>1019736292</v>
      </c>
      <c r="AG12" s="24">
        <f t="shared" si="30"/>
        <v>3054599277</v>
      </c>
      <c r="AH12" s="24">
        <f t="shared" si="31"/>
        <v>3935604746</v>
      </c>
      <c r="AI12" s="24">
        <f t="shared" si="32"/>
        <v>718816753</v>
      </c>
      <c r="AJ12" s="24">
        <f t="shared" si="33"/>
        <v>3081392704</v>
      </c>
      <c r="AK12" s="24">
        <f t="shared" si="34"/>
        <v>22463023</v>
      </c>
      <c r="AL12" s="24">
        <f t="shared" si="35"/>
        <v>2377994898</v>
      </c>
      <c r="AM12" s="24">
        <f t="shared" si="36"/>
        <v>571491425</v>
      </c>
      <c r="AN12" s="24">
        <f t="shared" si="37"/>
        <v>2726301696</v>
      </c>
      <c r="AO12" s="24">
        <f t="shared" si="38"/>
        <v>2630433180</v>
      </c>
      <c r="AP12" s="24">
        <f t="shared" si="39"/>
        <v>1564394058</v>
      </c>
      <c r="AQ12" s="24">
        <f t="shared" si="40"/>
        <v>4194316</v>
      </c>
      <c r="AR12" s="24">
        <f t="shared" si="41"/>
        <v>222052866</v>
      </c>
      <c r="AS12" s="24">
        <f t="shared" si="42"/>
        <v>2644507571</v>
      </c>
      <c r="AT12" s="24">
        <f t="shared" si="43"/>
        <v>3498283224</v>
      </c>
      <c r="AU12" s="24">
        <f t="shared" si="44"/>
        <v>112300294</v>
      </c>
      <c r="AV12" s="24">
        <f t="shared" si="45"/>
        <v>454054425</v>
      </c>
      <c r="AW12" s="24">
        <f t="shared" si="46"/>
        <v>4043309056</v>
      </c>
      <c r="AX12" s="24">
        <f t="shared" si="47"/>
        <v>524452</v>
      </c>
      <c r="BA12" s="24">
        <f t="shared" si="48"/>
        <v>4155609350</v>
      </c>
      <c r="BB12" s="24">
        <f t="shared" si="49"/>
        <v>454578877</v>
      </c>
      <c r="BC12" s="24">
        <f t="shared" si="50"/>
        <v>2348894464</v>
      </c>
      <c r="BD12" s="24">
        <f t="shared" si="51"/>
        <v>2319517568</v>
      </c>
      <c r="BE12" s="24">
        <f t="shared" si="52"/>
        <v>3433562368</v>
      </c>
      <c r="BF12" s="24">
        <f t="shared" si="53"/>
        <v>555811716</v>
      </c>
      <c r="BG12" s="24">
        <f t="shared" si="54"/>
        <v>2885944080</v>
      </c>
      <c r="BH12" s="24">
        <f t="shared" si="55"/>
        <v>1074996112</v>
      </c>
      <c r="BI12" s="24">
        <f t="shared" si="56"/>
        <v>2348810496</v>
      </c>
      <c r="BJ12" s="24">
        <f t="shared" si="57"/>
        <v>66432</v>
      </c>
      <c r="BK12" s="24">
        <f t="shared" si="58"/>
        <v>3970779920</v>
      </c>
      <c r="BL12" s="24">
        <f t="shared" si="59"/>
        <v>3950192532</v>
      </c>
      <c r="BM12" s="24">
        <f>MOD(R11+AF12+BB12+'📦 Константы SHA-512'!D10+BI206,4294967296)</f>
        <v>2811162652</v>
      </c>
      <c r="BN12" s="24">
        <f>INT((R11+AF12+BB12+'📦 Константы SHA-512'!D10+BI206)/4294967296)</f>
        <v>1</v>
      </c>
      <c r="BO12" s="24">
        <f>MOD(Q11+AE12+BA12+'📦 Константы SHA-512'!C10+BH206+BN12,4294967296)</f>
        <v>3854252588</v>
      </c>
      <c r="BP12" s="24" t="s">
        <v>304</v>
      </c>
      <c r="BQ12" s="24">
        <f t="shared" si="60"/>
        <v>3153508460</v>
      </c>
      <c r="BR12" s="24">
        <f t="shared" si="61"/>
        <v>1</v>
      </c>
      <c r="BS12" s="24">
        <f t="shared" si="62"/>
        <v>2320320196</v>
      </c>
      <c r="BU12" s="24">
        <f t="shared" si="63"/>
        <v>3403626754</v>
      </c>
      <c r="BV12" s="24">
        <f t="shared" si="64"/>
        <v>3445195936</v>
      </c>
      <c r="BW12" s="24">
        <f t="shared" si="65"/>
        <v>1879605489</v>
      </c>
      <c r="BX12" s="24">
        <f t="shared" si="66"/>
        <v>1669703816</v>
      </c>
    </row>
    <row r="13" spans="2:78" ht="12.75" customHeight="1" x14ac:dyDescent="0.25">
      <c r="B13" s="37">
        <v>8</v>
      </c>
      <c r="C13" s="38">
        <f t="shared" si="0"/>
        <v>346747433</v>
      </c>
      <c r="D13" s="38">
        <f t="shared" si="1"/>
        <v>676671875</v>
      </c>
      <c r="E13" s="38">
        <f t="shared" si="2"/>
        <v>1879605489</v>
      </c>
      <c r="F13" s="38">
        <f t="shared" si="3"/>
        <v>1669703816</v>
      </c>
      <c r="G13" s="38">
        <f t="shared" si="4"/>
        <v>3735636224</v>
      </c>
      <c r="H13" s="38">
        <f t="shared" si="5"/>
        <v>2875267014</v>
      </c>
      <c r="I13" s="38">
        <f t="shared" si="6"/>
        <v>2886036276</v>
      </c>
      <c r="J13" s="38">
        <f t="shared" si="7"/>
        <v>3470731184</v>
      </c>
      <c r="K13" s="38">
        <f t="shared" si="8"/>
        <v>2215854805</v>
      </c>
      <c r="L13" s="38">
        <f t="shared" si="9"/>
        <v>2706978677</v>
      </c>
      <c r="M13" s="38">
        <f t="shared" si="10"/>
        <v>3403626754</v>
      </c>
      <c r="N13" s="38">
        <f t="shared" si="11"/>
        <v>3445195936</v>
      </c>
      <c r="O13" s="38">
        <f t="shared" si="12"/>
        <v>116784111</v>
      </c>
      <c r="P13" s="38">
        <f t="shared" si="13"/>
        <v>3748757339</v>
      </c>
      <c r="Q13" s="38">
        <f t="shared" si="14"/>
        <v>3467743510</v>
      </c>
      <c r="R13" s="38">
        <f t="shared" si="15"/>
        <v>991449661</v>
      </c>
      <c r="S13" s="24">
        <f t="shared" si="16"/>
        <v>310586236</v>
      </c>
      <c r="T13" s="24">
        <f t="shared" si="17"/>
        <v>3825939814</v>
      </c>
      <c r="U13" s="24">
        <f t="shared" si="18"/>
        <v>1630024375</v>
      </c>
      <c r="V13" s="24">
        <f t="shared" si="19"/>
        <v>3460346710</v>
      </c>
      <c r="W13" s="24">
        <f t="shared" si="20"/>
        <v>2170989762</v>
      </c>
      <c r="X13" s="24">
        <f t="shared" si="21"/>
        <v>1348824988</v>
      </c>
      <c r="Y13" s="24">
        <f t="shared" si="22"/>
        <v>8756</v>
      </c>
      <c r="Z13" s="24">
        <f t="shared" si="23"/>
        <v>3288346950</v>
      </c>
      <c r="AA13" s="24">
        <f t="shared" si="24"/>
        <v>1940593099</v>
      </c>
      <c r="AB13" s="24">
        <f t="shared" si="25"/>
        <v>709592624</v>
      </c>
      <c r="AC13" s="24">
        <f t="shared" si="26"/>
        <v>19007682</v>
      </c>
      <c r="AD13" s="24">
        <f t="shared" si="27"/>
        <v>4261392</v>
      </c>
      <c r="AE13" s="24">
        <f t="shared" si="28"/>
        <v>4073567497</v>
      </c>
      <c r="AF13" s="24">
        <f t="shared" si="29"/>
        <v>2049894828</v>
      </c>
      <c r="AG13" s="24">
        <f t="shared" si="30"/>
        <v>945457287</v>
      </c>
      <c r="AH13" s="24">
        <f t="shared" si="31"/>
        <v>8916758</v>
      </c>
      <c r="AI13" s="24">
        <f t="shared" si="32"/>
        <v>1491167778</v>
      </c>
      <c r="AJ13" s="24">
        <f t="shared" si="33"/>
        <v>469901372</v>
      </c>
      <c r="AK13" s="24">
        <f t="shared" si="34"/>
        <v>3804695377</v>
      </c>
      <c r="AL13" s="24">
        <f t="shared" si="35"/>
        <v>283119873</v>
      </c>
      <c r="AM13" s="24">
        <f t="shared" si="36"/>
        <v>406849538</v>
      </c>
      <c r="AN13" s="24">
        <f t="shared" si="37"/>
        <v>20</v>
      </c>
      <c r="AO13" s="24">
        <f t="shared" si="38"/>
        <v>1622925989</v>
      </c>
      <c r="AP13" s="24">
        <f t="shared" si="39"/>
        <v>478818090</v>
      </c>
      <c r="AQ13" s="24">
        <f t="shared" si="40"/>
        <v>1619198465</v>
      </c>
      <c r="AR13" s="24">
        <f t="shared" si="41"/>
        <v>276824320</v>
      </c>
      <c r="AS13" s="24">
        <f t="shared" si="42"/>
        <v>2189224436</v>
      </c>
      <c r="AT13" s="24">
        <f t="shared" si="43"/>
        <v>208289323</v>
      </c>
      <c r="AU13" s="24">
        <f t="shared" si="44"/>
        <v>47528194</v>
      </c>
      <c r="AV13" s="24">
        <f t="shared" si="45"/>
        <v>3444638720</v>
      </c>
      <c r="AW13" s="24">
        <f t="shared" si="46"/>
        <v>69238804</v>
      </c>
      <c r="AX13" s="24">
        <f t="shared" si="47"/>
        <v>838881821</v>
      </c>
      <c r="BA13" s="24">
        <f t="shared" si="48"/>
        <v>116766998</v>
      </c>
      <c r="BB13" s="24">
        <f t="shared" si="49"/>
        <v>4283520541</v>
      </c>
      <c r="BC13" s="24">
        <f t="shared" si="50"/>
        <v>1342701568</v>
      </c>
      <c r="BD13" s="24">
        <f t="shared" si="51"/>
        <v>587268224</v>
      </c>
      <c r="BE13" s="24">
        <f t="shared" si="52"/>
        <v>536870960</v>
      </c>
      <c r="BF13" s="24">
        <f t="shared" si="53"/>
        <v>1116020864</v>
      </c>
      <c r="BG13" s="24">
        <f t="shared" si="54"/>
        <v>2348894464</v>
      </c>
      <c r="BH13" s="24">
        <f t="shared" si="55"/>
        <v>2319517568</v>
      </c>
      <c r="BI13" s="24">
        <f t="shared" si="56"/>
        <v>0</v>
      </c>
      <c r="BJ13" s="24">
        <f t="shared" si="57"/>
        <v>33620096</v>
      </c>
      <c r="BK13" s="24">
        <f t="shared" si="58"/>
        <v>4228466992</v>
      </c>
      <c r="BL13" s="24">
        <f t="shared" si="59"/>
        <v>3955566464</v>
      </c>
      <c r="BM13" s="24">
        <f>MOD(R12+AF13+BB13+'📦 Константы SHA-512'!D11+BI207,4294967296)</f>
        <v>807783384</v>
      </c>
      <c r="BN13" s="24">
        <f>INT((R12+AF13+BB13+'📦 Константы SHA-512'!D11+BI207)/4294967296)</f>
        <v>3</v>
      </c>
      <c r="BO13" s="24">
        <f>MOD(Q12+AE13+BA13+'📦 Константы SHA-512'!C11+BH207+BN13,4294967296)</f>
        <v>2518990596</v>
      </c>
      <c r="BP13" s="24" t="s">
        <v>305</v>
      </c>
      <c r="BQ13" s="24">
        <f t="shared" si="60"/>
        <v>4163855787</v>
      </c>
      <c r="BR13" s="24">
        <f t="shared" si="61"/>
        <v>0</v>
      </c>
      <c r="BS13" s="24">
        <f t="shared" si="62"/>
        <v>2122724132</v>
      </c>
      <c r="BU13" s="24">
        <f t="shared" si="63"/>
        <v>2215854805</v>
      </c>
      <c r="BV13" s="24">
        <f t="shared" si="64"/>
        <v>2706978677</v>
      </c>
      <c r="BW13" s="24">
        <f t="shared" si="65"/>
        <v>346747433</v>
      </c>
      <c r="BX13" s="24">
        <f t="shared" si="66"/>
        <v>676671875</v>
      </c>
    </row>
    <row r="14" spans="2:78" ht="12.75" customHeight="1" x14ac:dyDescent="0.25">
      <c r="B14" s="39">
        <v>9</v>
      </c>
      <c r="C14" s="40">
        <f t="shared" si="0"/>
        <v>374116607</v>
      </c>
      <c r="D14" s="40">
        <f t="shared" si="1"/>
        <v>3551036090</v>
      </c>
      <c r="E14" s="40">
        <f t="shared" si="2"/>
        <v>346747433</v>
      </c>
      <c r="F14" s="40">
        <f t="shared" si="3"/>
        <v>676671875</v>
      </c>
      <c r="G14" s="40">
        <f t="shared" si="4"/>
        <v>1879605489</v>
      </c>
      <c r="H14" s="40">
        <f t="shared" si="5"/>
        <v>1669703816</v>
      </c>
      <c r="I14" s="40">
        <f t="shared" si="6"/>
        <v>3735636224</v>
      </c>
      <c r="J14" s="40">
        <f t="shared" si="7"/>
        <v>2875267014</v>
      </c>
      <c r="K14" s="40">
        <f t="shared" si="8"/>
        <v>3499245024</v>
      </c>
      <c r="L14" s="40">
        <f t="shared" si="9"/>
        <v>3986009324</v>
      </c>
      <c r="M14" s="40">
        <f t="shared" si="10"/>
        <v>2215854805</v>
      </c>
      <c r="N14" s="40">
        <f t="shared" si="11"/>
        <v>2706978677</v>
      </c>
      <c r="O14" s="40">
        <f t="shared" si="12"/>
        <v>3403626754</v>
      </c>
      <c r="P14" s="40">
        <f t="shared" si="13"/>
        <v>3445195936</v>
      </c>
      <c r="Q14" s="40">
        <f t="shared" si="14"/>
        <v>116784111</v>
      </c>
      <c r="R14" s="40">
        <f t="shared" si="15"/>
        <v>3748757339</v>
      </c>
      <c r="S14" s="24">
        <f t="shared" si="16"/>
        <v>3721793613</v>
      </c>
      <c r="T14" s="24">
        <f t="shared" si="17"/>
        <v>190219620</v>
      </c>
      <c r="U14" s="24">
        <f t="shared" si="18"/>
        <v>1306353924</v>
      </c>
      <c r="V14" s="24">
        <f t="shared" si="19"/>
        <v>3501549654</v>
      </c>
      <c r="W14" s="24">
        <f t="shared" si="20"/>
        <v>1792060571</v>
      </c>
      <c r="X14" s="24">
        <f t="shared" si="21"/>
        <v>3133278625</v>
      </c>
      <c r="Y14" s="24">
        <f t="shared" si="22"/>
        <v>1305739268</v>
      </c>
      <c r="Z14" s="24">
        <f t="shared" si="23"/>
        <v>1310788</v>
      </c>
      <c r="AA14" s="24">
        <f t="shared" si="24"/>
        <v>2416669001</v>
      </c>
      <c r="AB14" s="24">
        <f t="shared" si="25"/>
        <v>3689147698</v>
      </c>
      <c r="AC14" s="24">
        <f t="shared" si="26"/>
        <v>8201</v>
      </c>
      <c r="AD14" s="24">
        <f t="shared" si="27"/>
        <v>2596407584</v>
      </c>
      <c r="AE14" s="24">
        <f t="shared" si="28"/>
        <v>4208713170</v>
      </c>
      <c r="AF14" s="24">
        <f t="shared" si="29"/>
        <v>1629611155</v>
      </c>
      <c r="AG14" s="24">
        <f t="shared" si="30"/>
        <v>2236815409</v>
      </c>
      <c r="AH14" s="24">
        <f t="shared" si="31"/>
        <v>1252991634</v>
      </c>
      <c r="AI14" s="24">
        <f t="shared" si="32"/>
        <v>1242909792</v>
      </c>
      <c r="AJ14" s="24">
        <f t="shared" si="33"/>
        <v>3307912330</v>
      </c>
      <c r="AK14" s="24">
        <f t="shared" si="34"/>
        <v>1381018211</v>
      </c>
      <c r="AL14" s="24">
        <f t="shared" si="35"/>
        <v>103372260</v>
      </c>
      <c r="AM14" s="24">
        <f t="shared" si="36"/>
        <v>1116192</v>
      </c>
      <c r="AN14" s="24">
        <f t="shared" si="37"/>
        <v>1076502658</v>
      </c>
      <c r="AO14" s="24">
        <f t="shared" si="38"/>
        <v>3477492817</v>
      </c>
      <c r="AP14" s="24">
        <f t="shared" si="39"/>
        <v>2407898648</v>
      </c>
      <c r="AQ14" s="24">
        <f t="shared" si="40"/>
        <v>1111490625</v>
      </c>
      <c r="AR14" s="24">
        <f t="shared" si="41"/>
        <v>100733952</v>
      </c>
      <c r="AS14" s="24">
        <f t="shared" si="42"/>
        <v>2635529778</v>
      </c>
      <c r="AT14" s="24">
        <f t="shared" si="43"/>
        <v>2309803004</v>
      </c>
      <c r="AU14" s="24">
        <f t="shared" si="44"/>
        <v>2148728832</v>
      </c>
      <c r="AV14" s="24">
        <f t="shared" si="45"/>
        <v>2170094624</v>
      </c>
      <c r="AW14" s="24">
        <f t="shared" si="46"/>
        <v>48544042</v>
      </c>
      <c r="AX14" s="24">
        <f t="shared" si="47"/>
        <v>1579173898</v>
      </c>
      <c r="BA14" s="24">
        <f t="shared" si="48"/>
        <v>2197272874</v>
      </c>
      <c r="BB14" s="24">
        <f t="shared" si="49"/>
        <v>3749268522</v>
      </c>
      <c r="BC14" s="24">
        <f t="shared" si="50"/>
        <v>268992545</v>
      </c>
      <c r="BD14" s="24">
        <f t="shared" si="51"/>
        <v>537206912</v>
      </c>
      <c r="BE14" s="24">
        <f t="shared" si="52"/>
        <v>346570752</v>
      </c>
      <c r="BF14" s="24">
        <f t="shared" si="53"/>
        <v>675352962</v>
      </c>
      <c r="BG14" s="24">
        <f t="shared" si="54"/>
        <v>1342701568</v>
      </c>
      <c r="BH14" s="24">
        <f t="shared" si="55"/>
        <v>587268224</v>
      </c>
      <c r="BI14" s="24">
        <f t="shared" si="56"/>
        <v>268959744</v>
      </c>
      <c r="BJ14" s="24">
        <f t="shared" si="57"/>
        <v>536936576</v>
      </c>
      <c r="BK14" s="24">
        <f t="shared" si="58"/>
        <v>1420345377</v>
      </c>
      <c r="BL14" s="24">
        <f t="shared" si="59"/>
        <v>725954946</v>
      </c>
      <c r="BM14" s="24">
        <f>MOD(R13+AF14+BB14+'📦 Константы SHA-512'!D12+BI208,4294967296)</f>
        <v>515278140</v>
      </c>
      <c r="BN14" s="24">
        <f>INT((R13+AF14+BB14+'📦 Константы SHA-512'!D12+BI208)/4294967296)</f>
        <v>2</v>
      </c>
      <c r="BO14" s="24">
        <f>MOD(Q13+AE14+BA14+'📦 Константы SHA-512'!C12+BH208+BN14,4294967296)</f>
        <v>613208748</v>
      </c>
      <c r="BP14" s="24" t="s">
        <v>306</v>
      </c>
      <c r="BQ14" s="24">
        <f t="shared" si="60"/>
        <v>3035757950</v>
      </c>
      <c r="BR14" s="24">
        <f t="shared" si="61"/>
        <v>0</v>
      </c>
      <c r="BS14" s="24">
        <f t="shared" si="62"/>
        <v>4055875155</v>
      </c>
      <c r="BU14" s="24">
        <f t="shared" si="63"/>
        <v>3499245024</v>
      </c>
      <c r="BV14" s="24">
        <f t="shared" si="64"/>
        <v>3986009324</v>
      </c>
      <c r="BW14" s="24">
        <f t="shared" si="65"/>
        <v>374116607</v>
      </c>
      <c r="BX14" s="24">
        <f t="shared" si="66"/>
        <v>3551036090</v>
      </c>
    </row>
    <row r="15" spans="2:78" ht="12.75" customHeight="1" x14ac:dyDescent="0.25">
      <c r="B15" s="41">
        <v>10</v>
      </c>
      <c r="C15" s="42">
        <f t="shared" si="0"/>
        <v>312803185</v>
      </c>
      <c r="D15" s="42">
        <f t="shared" si="1"/>
        <v>3452644119</v>
      </c>
      <c r="E15" s="42">
        <f t="shared" si="2"/>
        <v>374116607</v>
      </c>
      <c r="F15" s="42">
        <f t="shared" si="3"/>
        <v>3551036090</v>
      </c>
      <c r="G15" s="42">
        <f t="shared" si="4"/>
        <v>346747433</v>
      </c>
      <c r="H15" s="42">
        <f t="shared" si="5"/>
        <v>676671875</v>
      </c>
      <c r="I15" s="42">
        <f t="shared" si="6"/>
        <v>1879605489</v>
      </c>
      <c r="J15" s="42">
        <f t="shared" si="7"/>
        <v>1669703816</v>
      </c>
      <c r="K15" s="42">
        <f t="shared" si="8"/>
        <v>2877316462</v>
      </c>
      <c r="L15" s="42">
        <f t="shared" si="9"/>
        <v>2150625136</v>
      </c>
      <c r="M15" s="42">
        <f t="shared" si="10"/>
        <v>3499245024</v>
      </c>
      <c r="N15" s="42">
        <f t="shared" si="11"/>
        <v>3986009324</v>
      </c>
      <c r="O15" s="42">
        <f t="shared" si="12"/>
        <v>2215854805</v>
      </c>
      <c r="P15" s="42">
        <f t="shared" si="13"/>
        <v>2706978677</v>
      </c>
      <c r="Q15" s="42">
        <f t="shared" si="14"/>
        <v>3403626754</v>
      </c>
      <c r="R15" s="42">
        <f t="shared" si="15"/>
        <v>3445195936</v>
      </c>
      <c r="S15" s="24">
        <f t="shared" si="16"/>
        <v>3014869576</v>
      </c>
      <c r="T15" s="24">
        <f t="shared" si="17"/>
        <v>4152604246</v>
      </c>
      <c r="U15" s="24">
        <f t="shared" si="18"/>
        <v>1799042084</v>
      </c>
      <c r="V15" s="24">
        <f t="shared" si="19"/>
        <v>2407021413</v>
      </c>
      <c r="W15" s="24">
        <f t="shared" si="20"/>
        <v>4034317014</v>
      </c>
      <c r="X15" s="24">
        <f t="shared" si="21"/>
        <v>1986545950</v>
      </c>
      <c r="Y15" s="24">
        <f t="shared" si="22"/>
        <v>590544896</v>
      </c>
      <c r="Z15" s="24">
        <f t="shared" si="23"/>
        <v>2264937028</v>
      </c>
      <c r="AA15" s="24">
        <f t="shared" si="24"/>
        <v>3632821868</v>
      </c>
      <c r="AB15" s="24">
        <f t="shared" si="25"/>
        <v>2029751603</v>
      </c>
      <c r="AC15" s="24">
        <f t="shared" si="26"/>
        <v>3489677892</v>
      </c>
      <c r="AD15" s="24">
        <f t="shared" si="27"/>
        <v>1885866258</v>
      </c>
      <c r="AE15" s="24">
        <f t="shared" si="28"/>
        <v>687783098</v>
      </c>
      <c r="AF15" s="24">
        <f t="shared" si="29"/>
        <v>244565037</v>
      </c>
      <c r="AG15" s="24">
        <f t="shared" si="30"/>
        <v>982002593</v>
      </c>
      <c r="AH15" s="24">
        <f t="shared" si="31"/>
        <v>1690898429</v>
      </c>
      <c r="AI15" s="24">
        <f t="shared" si="32"/>
        <v>4108984494</v>
      </c>
      <c r="AJ15" s="24">
        <f t="shared" si="33"/>
        <v>2241012799</v>
      </c>
      <c r="AK15" s="24">
        <f t="shared" si="34"/>
        <v>4289155333</v>
      </c>
      <c r="AL15" s="24">
        <f t="shared" si="35"/>
        <v>1949079841</v>
      </c>
      <c r="AM15" s="24">
        <f t="shared" si="36"/>
        <v>814227616</v>
      </c>
      <c r="AN15" s="24">
        <f t="shared" si="37"/>
        <v>75564093</v>
      </c>
      <c r="AO15" s="24">
        <f t="shared" si="38"/>
        <v>3462531855</v>
      </c>
      <c r="AP15" s="24">
        <f t="shared" si="39"/>
        <v>3780783042</v>
      </c>
      <c r="AQ15" s="24">
        <f t="shared" si="40"/>
        <v>3458334981</v>
      </c>
      <c r="AR15" s="24">
        <f t="shared" si="41"/>
        <v>1611139328</v>
      </c>
      <c r="AS15" s="24">
        <f t="shared" si="42"/>
        <v>835017226</v>
      </c>
      <c r="AT15" s="24">
        <f t="shared" si="43"/>
        <v>2507584227</v>
      </c>
      <c r="AU15" s="24">
        <f t="shared" si="44"/>
        <v>2148663488</v>
      </c>
      <c r="AV15" s="24">
        <f t="shared" si="45"/>
        <v>2702255204</v>
      </c>
      <c r="AW15" s="24">
        <f t="shared" si="46"/>
        <v>172818434</v>
      </c>
      <c r="AX15" s="24">
        <f t="shared" si="47"/>
        <v>4718592</v>
      </c>
      <c r="BA15" s="24">
        <f t="shared" si="48"/>
        <v>2321481922</v>
      </c>
      <c r="BB15" s="24">
        <f t="shared" si="49"/>
        <v>2706973796</v>
      </c>
      <c r="BC15" s="24">
        <f t="shared" si="50"/>
        <v>336105513</v>
      </c>
      <c r="BD15" s="24">
        <f t="shared" si="51"/>
        <v>130</v>
      </c>
      <c r="BE15" s="24">
        <f t="shared" si="52"/>
        <v>268992753</v>
      </c>
      <c r="BF15" s="24">
        <f t="shared" si="53"/>
        <v>1132494984</v>
      </c>
      <c r="BG15" s="24">
        <f t="shared" si="54"/>
        <v>268992545</v>
      </c>
      <c r="BH15" s="24">
        <f t="shared" si="55"/>
        <v>537206912</v>
      </c>
      <c r="BI15" s="24">
        <f t="shared" si="56"/>
        <v>268992545</v>
      </c>
      <c r="BJ15" s="24">
        <f t="shared" si="57"/>
        <v>128</v>
      </c>
      <c r="BK15" s="24">
        <f t="shared" si="58"/>
        <v>336105721</v>
      </c>
      <c r="BL15" s="24">
        <f t="shared" si="59"/>
        <v>1669701770</v>
      </c>
      <c r="BM15" s="24">
        <f>MOD(R14+AF15+BB15+'📦 Константы SHA-512'!D13+BI209,4294967296)</f>
        <v>3570325418</v>
      </c>
      <c r="BN15" s="24">
        <f>INT((R14+AF15+BB15+'📦 Константы SHA-512'!D13+BI209)/4294967296)</f>
        <v>1</v>
      </c>
      <c r="BO15" s="24">
        <f>MOD(Q14+AE15+BA15+'📦 Константы SHA-512'!C13+BH209+BN15,4294967296)</f>
        <v>3436647533</v>
      </c>
      <c r="BP15" s="24" t="s">
        <v>307</v>
      </c>
      <c r="BQ15" s="24">
        <f t="shared" si="60"/>
        <v>4177285997</v>
      </c>
      <c r="BR15" s="24">
        <f t="shared" si="61"/>
        <v>0</v>
      </c>
      <c r="BS15" s="24">
        <f t="shared" si="62"/>
        <v>1171122947</v>
      </c>
      <c r="BU15" s="24">
        <f t="shared" si="63"/>
        <v>2877316462</v>
      </c>
      <c r="BV15" s="24">
        <f t="shared" si="64"/>
        <v>2150625136</v>
      </c>
      <c r="BW15" s="24">
        <f t="shared" si="65"/>
        <v>312803185</v>
      </c>
      <c r="BX15" s="24">
        <f t="shared" si="66"/>
        <v>3452644119</v>
      </c>
    </row>
    <row r="16" spans="2:78" ht="12.75" customHeight="1" x14ac:dyDescent="0.25">
      <c r="B16" s="43">
        <v>11</v>
      </c>
      <c r="C16" s="44">
        <f t="shared" si="0"/>
        <v>3356185126</v>
      </c>
      <c r="D16" s="44">
        <f t="shared" si="1"/>
        <v>584382716</v>
      </c>
      <c r="E16" s="44">
        <f t="shared" si="2"/>
        <v>312803185</v>
      </c>
      <c r="F16" s="44">
        <f t="shared" si="3"/>
        <v>3452644119</v>
      </c>
      <c r="G16" s="44">
        <f t="shared" si="4"/>
        <v>374116607</v>
      </c>
      <c r="H16" s="44">
        <f t="shared" si="5"/>
        <v>3551036090</v>
      </c>
      <c r="I16" s="44">
        <f t="shared" si="6"/>
        <v>346747433</v>
      </c>
      <c r="J16" s="44">
        <f t="shared" si="7"/>
        <v>676671875</v>
      </c>
      <c r="K16" s="44">
        <f t="shared" si="8"/>
        <v>3574264506</v>
      </c>
      <c r="L16" s="44">
        <f t="shared" si="9"/>
        <v>4224580787</v>
      </c>
      <c r="M16" s="44">
        <f t="shared" si="10"/>
        <v>2877316462</v>
      </c>
      <c r="N16" s="44">
        <f t="shared" si="11"/>
        <v>2150625136</v>
      </c>
      <c r="O16" s="44">
        <f t="shared" si="12"/>
        <v>3499245024</v>
      </c>
      <c r="P16" s="44">
        <f t="shared" si="13"/>
        <v>3986009324</v>
      </c>
      <c r="Q16" s="44">
        <f t="shared" si="14"/>
        <v>2215854805</v>
      </c>
      <c r="R16" s="44">
        <f t="shared" si="15"/>
        <v>2706978677</v>
      </c>
      <c r="S16" s="24">
        <f t="shared" si="16"/>
        <v>3183652353</v>
      </c>
      <c r="T16" s="24">
        <f t="shared" si="17"/>
        <v>1975124159</v>
      </c>
      <c r="U16" s="24">
        <f t="shared" si="18"/>
        <v>4225510112</v>
      </c>
      <c r="V16" s="24">
        <f t="shared" si="19"/>
        <v>391880715</v>
      </c>
      <c r="W16" s="24">
        <f t="shared" si="20"/>
        <v>3074430967</v>
      </c>
      <c r="X16" s="24">
        <f t="shared" si="21"/>
        <v>3092627502</v>
      </c>
      <c r="Y16" s="24">
        <f t="shared" si="22"/>
        <v>3116378624</v>
      </c>
      <c r="Z16" s="24">
        <f t="shared" si="23"/>
        <v>354025483</v>
      </c>
      <c r="AA16" s="24">
        <f t="shared" si="24"/>
        <v>1176405217</v>
      </c>
      <c r="AB16" s="24">
        <f t="shared" si="25"/>
        <v>1658953908</v>
      </c>
      <c r="AC16" s="24">
        <f t="shared" si="26"/>
        <v>100664545</v>
      </c>
      <c r="AD16" s="24">
        <f t="shared" si="27"/>
        <v>541163556</v>
      </c>
      <c r="AE16" s="24">
        <f t="shared" si="28"/>
        <v>4049507094</v>
      </c>
      <c r="AF16" s="24">
        <f t="shared" si="29"/>
        <v>3669254298</v>
      </c>
      <c r="AG16" s="24">
        <f t="shared" si="30"/>
        <v>3702698353</v>
      </c>
      <c r="AH16" s="24">
        <f t="shared" si="31"/>
        <v>709883676</v>
      </c>
      <c r="AI16" s="24">
        <f t="shared" si="32"/>
        <v>1936902853</v>
      </c>
      <c r="AJ16" s="24">
        <f t="shared" si="33"/>
        <v>3299426268</v>
      </c>
      <c r="AK16" s="24">
        <f t="shared" si="34"/>
        <v>3818624598</v>
      </c>
      <c r="AL16" s="24">
        <f t="shared" si="35"/>
        <v>774195710</v>
      </c>
      <c r="AM16" s="24">
        <f t="shared" si="36"/>
        <v>1345486913</v>
      </c>
      <c r="AN16" s="24">
        <f t="shared" si="37"/>
        <v>603932</v>
      </c>
      <c r="AO16" s="24">
        <f t="shared" si="38"/>
        <v>2948627380</v>
      </c>
      <c r="AP16" s="24">
        <f t="shared" si="39"/>
        <v>4008102080</v>
      </c>
      <c r="AQ16" s="24">
        <f t="shared" si="40"/>
        <v>2743079444</v>
      </c>
      <c r="AR16" s="24">
        <f t="shared" si="41"/>
        <v>774129856</v>
      </c>
      <c r="AS16" s="24">
        <f t="shared" si="42"/>
        <v>1281093090</v>
      </c>
      <c r="AT16" s="24">
        <f t="shared" si="43"/>
        <v>3234038078</v>
      </c>
      <c r="AU16" s="24">
        <f t="shared" si="44"/>
        <v>2155879776</v>
      </c>
      <c r="AV16" s="24">
        <f t="shared" si="45"/>
        <v>2147855456</v>
      </c>
      <c r="AW16" s="24">
        <f t="shared" si="46"/>
        <v>68354705</v>
      </c>
      <c r="AX16" s="24">
        <f t="shared" si="47"/>
        <v>558895109</v>
      </c>
      <c r="BA16" s="24">
        <f t="shared" si="48"/>
        <v>2224234481</v>
      </c>
      <c r="BB16" s="24">
        <f t="shared" si="49"/>
        <v>2706750565</v>
      </c>
      <c r="BC16" s="24">
        <f t="shared" si="50"/>
        <v>302289009</v>
      </c>
      <c r="BD16" s="24">
        <f t="shared" si="51"/>
        <v>3246916114</v>
      </c>
      <c r="BE16" s="24">
        <f t="shared" si="52"/>
        <v>278983201</v>
      </c>
      <c r="BF16" s="24">
        <f t="shared" si="53"/>
        <v>138486019</v>
      </c>
      <c r="BG16" s="24">
        <f t="shared" si="54"/>
        <v>336105513</v>
      </c>
      <c r="BH16" s="24">
        <f t="shared" si="55"/>
        <v>130</v>
      </c>
      <c r="BI16" s="24">
        <f t="shared" si="56"/>
        <v>268472353</v>
      </c>
      <c r="BJ16" s="24">
        <f t="shared" si="57"/>
        <v>2</v>
      </c>
      <c r="BK16" s="24">
        <f t="shared" si="58"/>
        <v>380433017</v>
      </c>
      <c r="BL16" s="24">
        <f t="shared" si="59"/>
        <v>3385402259</v>
      </c>
      <c r="BM16" s="24">
        <f>MOD(R15+AF16+BB16+'📦 Константы SHA-512'!D14+BI210,4294967296)</f>
        <v>2554876971</v>
      </c>
      <c r="BN16" s="24">
        <f>INT((R15+AF16+BB16+'📦 Константы SHA-512'!D14+BI210)/4294967296)</f>
        <v>2</v>
      </c>
      <c r="BO16" s="24">
        <f>MOD(Q15+AE16+BA16+'📦 Константы SHA-512'!C14+BH210+BN16,4294967296)</f>
        <v>1694659017</v>
      </c>
      <c r="BP16" s="24" t="s">
        <v>308</v>
      </c>
      <c r="BQ16" s="24">
        <f t="shared" si="60"/>
        <v>2324473041</v>
      </c>
      <c r="BR16" s="24">
        <f t="shared" si="61"/>
        <v>1</v>
      </c>
      <c r="BS16" s="24">
        <f t="shared" si="62"/>
        <v>1661526108</v>
      </c>
      <c r="BU16" s="24">
        <f t="shared" si="63"/>
        <v>3574264506</v>
      </c>
      <c r="BV16" s="24">
        <f t="shared" si="64"/>
        <v>4224580787</v>
      </c>
      <c r="BW16" s="24">
        <f t="shared" si="65"/>
        <v>3356185126</v>
      </c>
      <c r="BX16" s="24">
        <f t="shared" si="66"/>
        <v>584382716</v>
      </c>
    </row>
    <row r="17" spans="2:76" ht="12.75" customHeight="1" x14ac:dyDescent="0.25">
      <c r="B17" s="20">
        <v>12</v>
      </c>
      <c r="C17" s="45">
        <f t="shared" si="0"/>
        <v>656035861</v>
      </c>
      <c r="D17" s="45">
        <f t="shared" si="1"/>
        <v>974600349</v>
      </c>
      <c r="E17" s="45">
        <f t="shared" si="2"/>
        <v>3356185126</v>
      </c>
      <c r="F17" s="45">
        <f t="shared" si="3"/>
        <v>584382716</v>
      </c>
      <c r="G17" s="45">
        <f t="shared" si="4"/>
        <v>312803185</v>
      </c>
      <c r="H17" s="45">
        <f t="shared" si="5"/>
        <v>3452644119</v>
      </c>
      <c r="I17" s="45">
        <f t="shared" si="6"/>
        <v>374116607</v>
      </c>
      <c r="J17" s="45">
        <f t="shared" si="7"/>
        <v>3551036090</v>
      </c>
      <c r="K17" s="45">
        <f t="shared" si="8"/>
        <v>1073305540</v>
      </c>
      <c r="L17" s="45">
        <f t="shared" si="9"/>
        <v>1400626963</v>
      </c>
      <c r="M17" s="45">
        <f t="shared" si="10"/>
        <v>3574264506</v>
      </c>
      <c r="N17" s="45">
        <f t="shared" si="11"/>
        <v>4224580787</v>
      </c>
      <c r="O17" s="45">
        <f t="shared" si="12"/>
        <v>2877316462</v>
      </c>
      <c r="P17" s="45">
        <f t="shared" si="13"/>
        <v>2150625136</v>
      </c>
      <c r="Q17" s="45">
        <f t="shared" si="14"/>
        <v>3499245024</v>
      </c>
      <c r="R17" s="45">
        <f t="shared" si="15"/>
        <v>3986009324</v>
      </c>
      <c r="S17" s="24">
        <f t="shared" si="16"/>
        <v>4073673771</v>
      </c>
      <c r="T17" s="24">
        <f t="shared" si="17"/>
        <v>3404459831</v>
      </c>
      <c r="U17" s="24">
        <f t="shared" si="18"/>
        <v>2133652802</v>
      </c>
      <c r="V17" s="24">
        <f t="shared" si="19"/>
        <v>3165568755</v>
      </c>
      <c r="W17" s="24">
        <f t="shared" si="20"/>
        <v>1568532222</v>
      </c>
      <c r="X17" s="24">
        <f t="shared" si="21"/>
        <v>1508541817</v>
      </c>
      <c r="Y17" s="24">
        <f t="shared" si="22"/>
        <v>1913410562</v>
      </c>
      <c r="Z17" s="24">
        <f t="shared" si="23"/>
        <v>2292887091</v>
      </c>
      <c r="AA17" s="24">
        <f t="shared" si="24"/>
        <v>2380505449</v>
      </c>
      <c r="AB17" s="24">
        <f t="shared" si="25"/>
        <v>1984254404</v>
      </c>
      <c r="AC17" s="24">
        <f t="shared" si="26"/>
        <v>224501864</v>
      </c>
      <c r="AD17" s="24">
        <f t="shared" si="27"/>
        <v>1346371904</v>
      </c>
      <c r="AE17" s="24">
        <f t="shared" si="28"/>
        <v>3500033943</v>
      </c>
      <c r="AF17" s="24">
        <f t="shared" si="29"/>
        <v>800052413</v>
      </c>
      <c r="AG17" s="24">
        <f t="shared" si="30"/>
        <v>760188876</v>
      </c>
      <c r="AH17" s="24">
        <f t="shared" si="31"/>
        <v>2159354466</v>
      </c>
      <c r="AI17" s="24">
        <f t="shared" si="32"/>
        <v>2293579327</v>
      </c>
      <c r="AJ17" s="24">
        <f t="shared" si="33"/>
        <v>839046281</v>
      </c>
      <c r="AK17" s="24">
        <f t="shared" si="34"/>
        <v>1279633905</v>
      </c>
      <c r="AL17" s="24">
        <f t="shared" si="35"/>
        <v>4186969764</v>
      </c>
      <c r="AM17" s="24">
        <f t="shared" si="36"/>
        <v>134549004</v>
      </c>
      <c r="AN17" s="24">
        <f t="shared" si="37"/>
        <v>0</v>
      </c>
      <c r="AO17" s="24">
        <f t="shared" si="38"/>
        <v>2784670195</v>
      </c>
      <c r="AP17" s="24">
        <f t="shared" si="39"/>
        <v>2998400747</v>
      </c>
      <c r="AQ17" s="24">
        <f t="shared" si="40"/>
        <v>71344625</v>
      </c>
      <c r="AR17" s="24">
        <f t="shared" si="41"/>
        <v>2962232992</v>
      </c>
      <c r="AS17" s="24">
        <f t="shared" si="42"/>
        <v>3921614850</v>
      </c>
      <c r="AT17" s="24">
        <f t="shared" si="43"/>
        <v>1260904527</v>
      </c>
      <c r="AU17" s="24">
        <f t="shared" si="44"/>
        <v>2164281386</v>
      </c>
      <c r="AV17" s="24">
        <f t="shared" si="45"/>
        <v>2148396080</v>
      </c>
      <c r="AW17" s="24">
        <f t="shared" si="46"/>
        <v>9440576</v>
      </c>
      <c r="AX17" s="24">
        <f t="shared" si="47"/>
        <v>68157516</v>
      </c>
      <c r="BA17" s="24">
        <f t="shared" si="48"/>
        <v>2173721962</v>
      </c>
      <c r="BB17" s="24">
        <f t="shared" si="49"/>
        <v>2216553596</v>
      </c>
      <c r="BC17" s="24">
        <f t="shared" si="50"/>
        <v>21024</v>
      </c>
      <c r="BD17" s="24">
        <f t="shared" si="51"/>
        <v>12593172</v>
      </c>
      <c r="BE17" s="24">
        <f t="shared" si="52"/>
        <v>528422</v>
      </c>
      <c r="BF17" s="24">
        <f t="shared" si="53"/>
        <v>41975992</v>
      </c>
      <c r="BG17" s="24">
        <f t="shared" si="54"/>
        <v>302289009</v>
      </c>
      <c r="BH17" s="24">
        <f t="shared" si="55"/>
        <v>3246916114</v>
      </c>
      <c r="BI17" s="24">
        <f t="shared" si="56"/>
        <v>4128</v>
      </c>
      <c r="BJ17" s="24">
        <f t="shared" si="57"/>
        <v>8388624</v>
      </c>
      <c r="BK17" s="24">
        <f t="shared" si="58"/>
        <v>302830199</v>
      </c>
      <c r="BL17" s="24">
        <f t="shared" si="59"/>
        <v>3284708030</v>
      </c>
      <c r="BM17" s="24">
        <f>MOD(R16+AF17+BB17+'📦 Константы SHA-512'!D15+BI211,4294967296)</f>
        <v>723955088</v>
      </c>
      <c r="BN17" s="24">
        <f>INT((R16+AF17+BB17+'📦 Константы SHA-512'!D15+BI211)/4294967296)</f>
        <v>2</v>
      </c>
      <c r="BO17" s="24">
        <f>MOD(Q16+AE17+BA17+'📦 Константы SHA-512'!C15+BH211+BN17,4294967296)</f>
        <v>726558107</v>
      </c>
      <c r="BP17" s="24" t="s">
        <v>309</v>
      </c>
      <c r="BQ17" s="24">
        <f t="shared" si="60"/>
        <v>250645261</v>
      </c>
      <c r="BR17" s="24">
        <f t="shared" si="61"/>
        <v>1</v>
      </c>
      <c r="BS17" s="24">
        <f t="shared" si="62"/>
        <v>4224445050</v>
      </c>
      <c r="BU17" s="24">
        <f t="shared" si="63"/>
        <v>1073305540</v>
      </c>
      <c r="BV17" s="24">
        <f t="shared" si="64"/>
        <v>1400626963</v>
      </c>
      <c r="BW17" s="24">
        <f t="shared" si="65"/>
        <v>656035861</v>
      </c>
      <c r="BX17" s="24">
        <f t="shared" si="66"/>
        <v>974600349</v>
      </c>
    </row>
    <row r="18" spans="2:76" ht="12.75" customHeight="1" x14ac:dyDescent="0.25">
      <c r="B18" s="46">
        <v>13</v>
      </c>
      <c r="C18" s="47">
        <f t="shared" si="0"/>
        <v>159858606</v>
      </c>
      <c r="D18" s="47">
        <f t="shared" si="1"/>
        <v>1675866875</v>
      </c>
      <c r="E18" s="47">
        <f t="shared" si="2"/>
        <v>656035861</v>
      </c>
      <c r="F18" s="47">
        <f t="shared" si="3"/>
        <v>974600349</v>
      </c>
      <c r="G18" s="47">
        <f t="shared" si="4"/>
        <v>3356185126</v>
      </c>
      <c r="H18" s="47">
        <f t="shared" si="5"/>
        <v>584382716</v>
      </c>
      <c r="I18" s="47">
        <f t="shared" si="6"/>
        <v>312803185</v>
      </c>
      <c r="J18" s="47">
        <f t="shared" si="7"/>
        <v>3452644119</v>
      </c>
      <c r="K18" s="47">
        <f t="shared" si="8"/>
        <v>1481053429</v>
      </c>
      <c r="L18" s="47">
        <f t="shared" si="9"/>
        <v>176642850</v>
      </c>
      <c r="M18" s="47">
        <f t="shared" si="10"/>
        <v>1073305540</v>
      </c>
      <c r="N18" s="47">
        <f t="shared" si="11"/>
        <v>1400626963</v>
      </c>
      <c r="O18" s="47">
        <f t="shared" si="12"/>
        <v>3574264506</v>
      </c>
      <c r="P18" s="47">
        <f t="shared" si="13"/>
        <v>4224580787</v>
      </c>
      <c r="Q18" s="47">
        <f t="shared" si="14"/>
        <v>2877316462</v>
      </c>
      <c r="R18" s="47">
        <f t="shared" si="15"/>
        <v>2150625136</v>
      </c>
      <c r="S18" s="24">
        <f t="shared" si="16"/>
        <v>2085421029</v>
      </c>
      <c r="T18" s="24">
        <f t="shared" si="17"/>
        <v>1594969583</v>
      </c>
      <c r="U18" s="24">
        <f t="shared" si="18"/>
        <v>4156870654</v>
      </c>
      <c r="V18" s="24">
        <f t="shared" si="19"/>
        <v>1441862878</v>
      </c>
      <c r="W18" s="24">
        <f t="shared" si="20"/>
        <v>3794386415</v>
      </c>
      <c r="X18" s="24">
        <f t="shared" si="21"/>
        <v>2308963499</v>
      </c>
      <c r="Y18" s="24">
        <f t="shared" si="22"/>
        <v>1950666724</v>
      </c>
      <c r="Z18" s="24">
        <f t="shared" si="23"/>
        <v>1427178702</v>
      </c>
      <c r="AA18" s="24">
        <f t="shared" si="24"/>
        <v>2340958235</v>
      </c>
      <c r="AB18" s="24">
        <f t="shared" si="25"/>
        <v>182475057</v>
      </c>
      <c r="AC18" s="24">
        <f t="shared" si="26"/>
        <v>2181574667</v>
      </c>
      <c r="AD18" s="24">
        <f t="shared" si="27"/>
        <v>142628897</v>
      </c>
      <c r="AE18" s="24">
        <f t="shared" si="28"/>
        <v>1772195316</v>
      </c>
      <c r="AF18" s="24">
        <f t="shared" si="29"/>
        <v>2206180762</v>
      </c>
      <c r="AG18" s="24">
        <f t="shared" si="30"/>
        <v>2708703698</v>
      </c>
      <c r="AH18" s="24">
        <f t="shared" si="31"/>
        <v>1906639187</v>
      </c>
      <c r="AI18" s="24">
        <f t="shared" si="32"/>
        <v>1317391911</v>
      </c>
      <c r="AJ18" s="24">
        <f t="shared" si="33"/>
        <v>1237750789</v>
      </c>
      <c r="AK18" s="24">
        <f t="shared" si="34"/>
        <v>712257137</v>
      </c>
      <c r="AL18" s="24">
        <f t="shared" si="35"/>
        <v>978203808</v>
      </c>
      <c r="AM18" s="24">
        <f t="shared" si="36"/>
        <v>100354</v>
      </c>
      <c r="AN18" s="24">
        <f t="shared" si="37"/>
        <v>1099169793</v>
      </c>
      <c r="AO18" s="24">
        <f t="shared" si="38"/>
        <v>4025894901</v>
      </c>
      <c r="AP18" s="24">
        <f t="shared" si="39"/>
        <v>946050390</v>
      </c>
      <c r="AQ18" s="24">
        <f t="shared" si="40"/>
        <v>712246897</v>
      </c>
      <c r="AR18" s="24">
        <f t="shared" si="41"/>
        <v>943854592</v>
      </c>
      <c r="AS18" s="24">
        <f t="shared" si="42"/>
        <v>3313658244</v>
      </c>
      <c r="AT18" s="24">
        <f t="shared" si="43"/>
        <v>36545014</v>
      </c>
      <c r="AU18" s="24">
        <f t="shared" si="44"/>
        <v>352866944</v>
      </c>
      <c r="AV18" s="24">
        <f t="shared" si="45"/>
        <v>1397349395</v>
      </c>
      <c r="AW18" s="24">
        <f t="shared" si="46"/>
        <v>2147485738</v>
      </c>
      <c r="AX18" s="24">
        <f t="shared" si="47"/>
        <v>2147754080</v>
      </c>
      <c r="BA18" s="24">
        <f t="shared" si="48"/>
        <v>2500352682</v>
      </c>
      <c r="BB18" s="24">
        <f t="shared" si="49"/>
        <v>3545103475</v>
      </c>
      <c r="BC18" s="24">
        <f t="shared" si="50"/>
        <v>675844</v>
      </c>
      <c r="BD18" s="24">
        <f t="shared" si="51"/>
        <v>571750556</v>
      </c>
      <c r="BE18" s="24">
        <f t="shared" si="52"/>
        <v>33574929</v>
      </c>
      <c r="BF18" s="24">
        <f t="shared" si="53"/>
        <v>134424597</v>
      </c>
      <c r="BG18" s="24">
        <f t="shared" si="54"/>
        <v>21024</v>
      </c>
      <c r="BH18" s="24">
        <f t="shared" si="55"/>
        <v>12593172</v>
      </c>
      <c r="BI18" s="24">
        <f t="shared" si="56"/>
        <v>20480</v>
      </c>
      <c r="BJ18" s="24">
        <f t="shared" si="57"/>
        <v>10260</v>
      </c>
      <c r="BK18" s="24">
        <f t="shared" si="58"/>
        <v>34230837</v>
      </c>
      <c r="BL18" s="24">
        <f t="shared" si="59"/>
        <v>718747805</v>
      </c>
      <c r="BM18" s="24">
        <f>MOD(R17+AF18+BB18+'📦 Константы SHA-512'!D16+BI212,4294967296)</f>
        <v>920574056</v>
      </c>
      <c r="BN18" s="24">
        <f>INT((R17+AF18+BB18+'📦 Константы SHA-512'!D16+BI212)/4294967296)</f>
        <v>3</v>
      </c>
      <c r="BO18" s="24">
        <f>MOD(Q17+AE18+BA18+'📦 Константы SHA-512'!C16+BH212+BN18,4294967296)</f>
        <v>1106936821</v>
      </c>
      <c r="BP18" s="24" t="s">
        <v>310</v>
      </c>
      <c r="BQ18" s="24">
        <f t="shared" si="60"/>
        <v>755292819</v>
      </c>
      <c r="BR18" s="24">
        <f t="shared" si="61"/>
        <v>0</v>
      </c>
      <c r="BS18" s="24">
        <f t="shared" si="62"/>
        <v>3347889081</v>
      </c>
      <c r="BU18" s="24">
        <f t="shared" si="63"/>
        <v>1481053429</v>
      </c>
      <c r="BV18" s="24">
        <f t="shared" si="64"/>
        <v>176642850</v>
      </c>
      <c r="BW18" s="24">
        <f t="shared" si="65"/>
        <v>159858606</v>
      </c>
      <c r="BX18" s="24">
        <f t="shared" si="66"/>
        <v>1675866875</v>
      </c>
    </row>
    <row r="19" spans="2:76" ht="12.75" customHeight="1" x14ac:dyDescent="0.25">
      <c r="B19" s="48">
        <v>14</v>
      </c>
      <c r="C19" s="49">
        <f t="shared" si="0"/>
        <v>2373783917</v>
      </c>
      <c r="D19" s="49">
        <f t="shared" si="1"/>
        <v>2234565977</v>
      </c>
      <c r="E19" s="49">
        <f t="shared" si="2"/>
        <v>159858606</v>
      </c>
      <c r="F19" s="49">
        <f t="shared" si="3"/>
        <v>1675866875</v>
      </c>
      <c r="G19" s="49">
        <f t="shared" si="4"/>
        <v>656035861</v>
      </c>
      <c r="H19" s="49">
        <f t="shared" si="5"/>
        <v>974600349</v>
      </c>
      <c r="I19" s="49">
        <f t="shared" si="6"/>
        <v>3356185126</v>
      </c>
      <c r="J19" s="49">
        <f t="shared" si="7"/>
        <v>584382716</v>
      </c>
      <c r="K19" s="49">
        <f t="shared" si="8"/>
        <v>2635250253</v>
      </c>
      <c r="L19" s="49">
        <f t="shared" si="9"/>
        <v>2216885249</v>
      </c>
      <c r="M19" s="49">
        <f t="shared" si="10"/>
        <v>1481053429</v>
      </c>
      <c r="N19" s="49">
        <f t="shared" si="11"/>
        <v>176642850</v>
      </c>
      <c r="O19" s="49">
        <f t="shared" si="12"/>
        <v>1073305540</v>
      </c>
      <c r="P19" s="49">
        <f t="shared" si="13"/>
        <v>1400626963</v>
      </c>
      <c r="Q19" s="49">
        <f t="shared" si="14"/>
        <v>3574264506</v>
      </c>
      <c r="R19" s="49">
        <f t="shared" si="15"/>
        <v>4224580787</v>
      </c>
      <c r="S19" s="24">
        <f t="shared" si="16"/>
        <v>1820942620</v>
      </c>
      <c r="T19" s="24">
        <f t="shared" si="17"/>
        <v>1406413341</v>
      </c>
      <c r="U19" s="24">
        <f t="shared" si="18"/>
        <v>3603469841</v>
      </c>
      <c r="V19" s="24">
        <f t="shared" si="19"/>
        <v>3309126305</v>
      </c>
      <c r="W19" s="24">
        <f t="shared" si="20"/>
        <v>2055553965</v>
      </c>
      <c r="X19" s="24">
        <f t="shared" si="21"/>
        <v>2435589002</v>
      </c>
      <c r="Y19" s="24">
        <f t="shared" si="22"/>
        <v>1149763600</v>
      </c>
      <c r="Z19" s="24">
        <f t="shared" si="23"/>
        <v>1091830273</v>
      </c>
      <c r="AA19" s="24">
        <f t="shared" si="24"/>
        <v>3124885261</v>
      </c>
      <c r="AB19" s="24">
        <f t="shared" si="25"/>
        <v>2531879100</v>
      </c>
      <c r="AC19" s="24">
        <f t="shared" si="26"/>
        <v>973161229</v>
      </c>
      <c r="AD19" s="24">
        <f t="shared" si="27"/>
        <v>2418548872</v>
      </c>
      <c r="AE19" s="24">
        <f t="shared" si="28"/>
        <v>3234116768</v>
      </c>
      <c r="AF19" s="24">
        <f t="shared" si="29"/>
        <v>130370358</v>
      </c>
      <c r="AG19" s="24">
        <f t="shared" si="30"/>
        <v>1044066224</v>
      </c>
      <c r="AH19" s="24">
        <f t="shared" si="31"/>
        <v>2557737702</v>
      </c>
      <c r="AI19" s="24">
        <f t="shared" si="32"/>
        <v>2566450366</v>
      </c>
      <c r="AJ19" s="24">
        <f t="shared" si="33"/>
        <v>3261190123</v>
      </c>
      <c r="AK19" s="24">
        <f t="shared" si="34"/>
        <v>1556596581</v>
      </c>
      <c r="AL19" s="24">
        <f t="shared" si="35"/>
        <v>4128444031</v>
      </c>
      <c r="AM19" s="24">
        <f t="shared" si="36"/>
        <v>406334640</v>
      </c>
      <c r="AN19" s="24">
        <f t="shared" si="37"/>
        <v>2153892578</v>
      </c>
      <c r="AO19" s="24">
        <f t="shared" si="38"/>
        <v>2797847310</v>
      </c>
      <c r="AP19" s="24">
        <f t="shared" si="39"/>
        <v>1511142669</v>
      </c>
      <c r="AQ19" s="24">
        <f t="shared" si="40"/>
        <v>79938308</v>
      </c>
      <c r="AR19" s="24">
        <f t="shared" si="41"/>
        <v>1376912397</v>
      </c>
      <c r="AS19" s="24">
        <f t="shared" si="42"/>
        <v>4194567275</v>
      </c>
      <c r="AT19" s="24">
        <f t="shared" si="43"/>
        <v>2885761906</v>
      </c>
      <c r="AU19" s="24">
        <f t="shared" si="44"/>
        <v>406918340</v>
      </c>
      <c r="AV19" s="24">
        <f t="shared" si="45"/>
        <v>33774338</v>
      </c>
      <c r="AW19" s="24">
        <f t="shared" si="46"/>
        <v>2231951882</v>
      </c>
      <c r="AX19" s="24">
        <f t="shared" si="47"/>
        <v>4048069777</v>
      </c>
      <c r="BA19" s="24">
        <f t="shared" si="48"/>
        <v>2638870222</v>
      </c>
      <c r="BB19" s="24">
        <f t="shared" si="49"/>
        <v>4081844115</v>
      </c>
      <c r="BC19" s="24">
        <f t="shared" si="50"/>
        <v>16912388</v>
      </c>
      <c r="BD19" s="24">
        <f t="shared" si="51"/>
        <v>570634393</v>
      </c>
      <c r="BE19" s="24">
        <f t="shared" si="52"/>
        <v>134418982</v>
      </c>
      <c r="BF19" s="24">
        <f t="shared" si="53"/>
        <v>583053560</v>
      </c>
      <c r="BG19" s="24">
        <f t="shared" si="54"/>
        <v>675844</v>
      </c>
      <c r="BH19" s="24">
        <f t="shared" si="55"/>
        <v>571750556</v>
      </c>
      <c r="BI19" s="24">
        <f t="shared" si="56"/>
        <v>135172</v>
      </c>
      <c r="BJ19" s="24">
        <f t="shared" si="57"/>
        <v>570437784</v>
      </c>
      <c r="BK19" s="24">
        <f t="shared" si="58"/>
        <v>151736870</v>
      </c>
      <c r="BL19" s="24">
        <f t="shared" si="59"/>
        <v>584562941</v>
      </c>
      <c r="BM19" s="24">
        <f>MOD(R18+AF19+BB19+'📦 Константы SHA-512'!D17+BI213,4294967296)</f>
        <v>3059208426</v>
      </c>
      <c r="BN19" s="24">
        <f>INT((R18+AF19+BB19+'📦 Константы SHA-512'!D17+BI213)/4294967296)</f>
        <v>1</v>
      </c>
      <c r="BO19" s="24">
        <f>MOD(Q18+AE19+BA19+'📦 Константы SHA-512'!C17+BH213+BN19,4294967296)</f>
        <v>2322447067</v>
      </c>
      <c r="BP19" s="24" t="s">
        <v>311</v>
      </c>
      <c r="BQ19" s="24">
        <f t="shared" si="60"/>
        <v>3470324847</v>
      </c>
      <c r="BR19" s="24">
        <f t="shared" si="61"/>
        <v>0</v>
      </c>
      <c r="BS19" s="24">
        <f t="shared" si="62"/>
        <v>51336849</v>
      </c>
      <c r="BU19" s="24">
        <f t="shared" si="63"/>
        <v>2635250253</v>
      </c>
      <c r="BV19" s="24">
        <f t="shared" si="64"/>
        <v>2216885249</v>
      </c>
      <c r="BW19" s="24">
        <f t="shared" si="65"/>
        <v>2373783917</v>
      </c>
      <c r="BX19" s="24">
        <f t="shared" si="66"/>
        <v>2234565977</v>
      </c>
    </row>
    <row r="20" spans="2:76" ht="12.75" customHeight="1" x14ac:dyDescent="0.25">
      <c r="B20" s="50">
        <v>15</v>
      </c>
      <c r="C20" s="51">
        <f t="shared" si="0"/>
        <v>201287688</v>
      </c>
      <c r="D20" s="51">
        <f t="shared" si="1"/>
        <v>3877944402</v>
      </c>
      <c r="E20" s="51">
        <f t="shared" si="2"/>
        <v>2373783917</v>
      </c>
      <c r="F20" s="51">
        <f t="shared" si="3"/>
        <v>2234565977</v>
      </c>
      <c r="G20" s="51">
        <f t="shared" si="4"/>
        <v>159858606</v>
      </c>
      <c r="H20" s="51">
        <f t="shared" si="5"/>
        <v>1675866875</v>
      </c>
      <c r="I20" s="51">
        <f t="shared" si="6"/>
        <v>656035861</v>
      </c>
      <c r="J20" s="51">
        <f t="shared" si="7"/>
        <v>974600349</v>
      </c>
      <c r="K20" s="51">
        <f t="shared" si="8"/>
        <v>3718357949</v>
      </c>
      <c r="L20" s="51">
        <f t="shared" si="9"/>
        <v>3744553940</v>
      </c>
      <c r="M20" s="51">
        <f t="shared" si="10"/>
        <v>2635250253</v>
      </c>
      <c r="N20" s="51">
        <f t="shared" si="11"/>
        <v>2216885249</v>
      </c>
      <c r="O20" s="51">
        <f t="shared" si="12"/>
        <v>1481053429</v>
      </c>
      <c r="P20" s="51">
        <f t="shared" si="13"/>
        <v>176642850</v>
      </c>
      <c r="Q20" s="51">
        <f t="shared" si="14"/>
        <v>1073305540</v>
      </c>
      <c r="R20" s="51">
        <f t="shared" si="15"/>
        <v>1400626963</v>
      </c>
      <c r="S20" s="24">
        <f t="shared" si="16"/>
        <v>4026954826</v>
      </c>
      <c r="T20" s="24">
        <f t="shared" si="17"/>
        <v>3912634507</v>
      </c>
      <c r="U20" s="24">
        <f t="shared" si="18"/>
        <v>3204474692</v>
      </c>
      <c r="V20" s="24">
        <f t="shared" si="19"/>
        <v>2928894216</v>
      </c>
      <c r="W20" s="24">
        <f t="shared" si="20"/>
        <v>650252670</v>
      </c>
      <c r="X20" s="24">
        <f t="shared" si="21"/>
        <v>13535581</v>
      </c>
      <c r="Y20" s="24">
        <f t="shared" si="22"/>
        <v>2952815680</v>
      </c>
      <c r="Z20" s="24">
        <f t="shared" si="23"/>
        <v>2819751944</v>
      </c>
      <c r="AA20" s="24">
        <f t="shared" si="24"/>
        <v>1325798158</v>
      </c>
      <c r="AB20" s="24">
        <f t="shared" si="25"/>
        <v>1202024835</v>
      </c>
      <c r="AC20" s="24">
        <f t="shared" si="26"/>
        <v>100798734</v>
      </c>
      <c r="AD20" s="24">
        <f t="shared" si="27"/>
        <v>8651009</v>
      </c>
      <c r="AE20" s="24">
        <f t="shared" si="28"/>
        <v>1774453360</v>
      </c>
      <c r="AF20" s="24">
        <f t="shared" si="29"/>
        <v>1198258398</v>
      </c>
      <c r="AG20" s="24">
        <f t="shared" si="30"/>
        <v>1393317272</v>
      </c>
      <c r="AH20" s="24">
        <f t="shared" si="31"/>
        <v>3620804312</v>
      </c>
      <c r="AI20" s="24">
        <f t="shared" si="32"/>
        <v>1632383318</v>
      </c>
      <c r="AJ20" s="24">
        <f t="shared" si="33"/>
        <v>1667187803</v>
      </c>
      <c r="AK20" s="24">
        <f t="shared" si="34"/>
        <v>3674890634</v>
      </c>
      <c r="AL20" s="24">
        <f t="shared" si="35"/>
        <v>3004889634</v>
      </c>
      <c r="AM20" s="24">
        <f t="shared" si="36"/>
        <v>1091309840</v>
      </c>
      <c r="AN20" s="24">
        <f t="shared" si="37"/>
        <v>1129383000</v>
      </c>
      <c r="AO20" s="24">
        <f t="shared" si="38"/>
        <v>843080910</v>
      </c>
      <c r="AP20" s="24">
        <f t="shared" si="39"/>
        <v>3029226115</v>
      </c>
      <c r="AQ20" s="24">
        <f t="shared" si="40"/>
        <v>302014602</v>
      </c>
      <c r="AR20" s="24">
        <f t="shared" si="41"/>
        <v>2953466370</v>
      </c>
      <c r="AS20" s="24">
        <f t="shared" si="42"/>
        <v>3913942340</v>
      </c>
      <c r="AT20" s="24">
        <f t="shared" si="43"/>
        <v>127183009</v>
      </c>
      <c r="AU20" s="24">
        <f t="shared" si="44"/>
        <v>402788421</v>
      </c>
      <c r="AV20" s="24">
        <f t="shared" si="45"/>
        <v>153600</v>
      </c>
      <c r="AW20" s="24">
        <f t="shared" si="46"/>
        <v>585713024</v>
      </c>
      <c r="AX20" s="24">
        <f t="shared" si="47"/>
        <v>1398342418</v>
      </c>
      <c r="BA20" s="24">
        <f t="shared" si="48"/>
        <v>988501445</v>
      </c>
      <c r="BB20" s="24">
        <f t="shared" si="49"/>
        <v>1398496018</v>
      </c>
      <c r="BC20" s="24">
        <f t="shared" si="50"/>
        <v>151327020</v>
      </c>
      <c r="BD20" s="24">
        <f t="shared" si="51"/>
        <v>18907225</v>
      </c>
      <c r="BE20" s="24">
        <f t="shared" si="52"/>
        <v>85463045</v>
      </c>
      <c r="BF20" s="24">
        <f t="shared" si="53"/>
        <v>1048601</v>
      </c>
      <c r="BG20" s="24">
        <f t="shared" si="54"/>
        <v>16912388</v>
      </c>
      <c r="BH20" s="24">
        <f t="shared" si="55"/>
        <v>570634393</v>
      </c>
      <c r="BI20" s="24">
        <f t="shared" si="56"/>
        <v>16781316</v>
      </c>
      <c r="BJ20" s="24">
        <f t="shared" si="57"/>
        <v>25</v>
      </c>
      <c r="BK20" s="24">
        <f t="shared" si="58"/>
        <v>220139821</v>
      </c>
      <c r="BL20" s="24">
        <f t="shared" si="59"/>
        <v>590590169</v>
      </c>
      <c r="BM20" s="24">
        <f>MOD(R19+AF20+BB20+'📦 Константы SHA-512'!D18+BI214,4294967296)</f>
        <v>3160171224</v>
      </c>
      <c r="BN20" s="24">
        <f>INT((R19+AF20+BB20+'📦 Константы SHA-512'!D18+BI214)/4294967296)</f>
        <v>1</v>
      </c>
      <c r="BO20" s="24">
        <f>MOD(Q19+AE20+BA20+'📦 Константы SHA-512'!C18+BH214+BN20,4294967296)</f>
        <v>362172823</v>
      </c>
      <c r="BP20" s="24" t="s">
        <v>312</v>
      </c>
      <c r="BQ20" s="24">
        <f t="shared" si="60"/>
        <v>717773178</v>
      </c>
      <c r="BR20" s="24">
        <f t="shared" si="61"/>
        <v>0</v>
      </c>
      <c r="BS20" s="24">
        <f t="shared" si="62"/>
        <v>4134082161</v>
      </c>
      <c r="BU20" s="24">
        <f t="shared" si="63"/>
        <v>3718357949</v>
      </c>
      <c r="BV20" s="24">
        <f t="shared" si="64"/>
        <v>3744553940</v>
      </c>
      <c r="BW20" s="24">
        <f t="shared" si="65"/>
        <v>201287688</v>
      </c>
      <c r="BX20" s="24">
        <f t="shared" si="66"/>
        <v>3877944402</v>
      </c>
    </row>
    <row r="21" spans="2:76" ht="12.75" customHeight="1" x14ac:dyDescent="0.25">
      <c r="B21" s="52">
        <v>16</v>
      </c>
      <c r="C21" s="53">
        <f t="shared" si="0"/>
        <v>3933320515</v>
      </c>
      <c r="D21" s="53">
        <f t="shared" si="1"/>
        <v>876712576</v>
      </c>
      <c r="E21" s="53">
        <f t="shared" si="2"/>
        <v>201287688</v>
      </c>
      <c r="F21" s="53">
        <f t="shared" si="3"/>
        <v>3877944402</v>
      </c>
      <c r="G21" s="53">
        <f t="shared" si="4"/>
        <v>2373783917</v>
      </c>
      <c r="H21" s="53">
        <f t="shared" si="5"/>
        <v>2234565977</v>
      </c>
      <c r="I21" s="53">
        <f t="shared" si="6"/>
        <v>159858606</v>
      </c>
      <c r="J21" s="53">
        <f t="shared" si="7"/>
        <v>1675866875</v>
      </c>
      <c r="K21" s="53">
        <f t="shared" si="8"/>
        <v>2906663134</v>
      </c>
      <c r="L21" s="53">
        <f t="shared" si="9"/>
        <v>3994645094</v>
      </c>
      <c r="M21" s="53">
        <f t="shared" si="10"/>
        <v>3718357949</v>
      </c>
      <c r="N21" s="53">
        <f t="shared" si="11"/>
        <v>3744553940</v>
      </c>
      <c r="O21" s="53">
        <f t="shared" si="12"/>
        <v>2635250253</v>
      </c>
      <c r="P21" s="53">
        <f t="shared" si="13"/>
        <v>2216885249</v>
      </c>
      <c r="Q21" s="53">
        <f t="shared" si="14"/>
        <v>1481053429</v>
      </c>
      <c r="R21" s="53">
        <f t="shared" si="15"/>
        <v>176642850</v>
      </c>
      <c r="S21" s="24">
        <f t="shared" si="16"/>
        <v>1867740806</v>
      </c>
      <c r="T21" s="24">
        <f t="shared" si="17"/>
        <v>2398584005</v>
      </c>
      <c r="U21" s="24">
        <f t="shared" si="18"/>
        <v>1458911080</v>
      </c>
      <c r="V21" s="24">
        <f t="shared" si="19"/>
        <v>1760524236</v>
      </c>
      <c r="W21" s="24">
        <f t="shared" si="20"/>
        <v>3740244141</v>
      </c>
      <c r="X21" s="24">
        <f t="shared" si="21"/>
        <v>3933130961</v>
      </c>
      <c r="Y21" s="24">
        <f t="shared" si="22"/>
        <v>1179727360</v>
      </c>
      <c r="Z21" s="24">
        <f t="shared" si="23"/>
        <v>149386436</v>
      </c>
      <c r="AA21" s="24">
        <f t="shared" si="24"/>
        <v>967197166</v>
      </c>
      <c r="AB21" s="24">
        <f t="shared" si="25"/>
        <v>3860335369</v>
      </c>
      <c r="AC21" s="24">
        <f t="shared" si="26"/>
        <v>413532332</v>
      </c>
      <c r="AD21" s="24">
        <f t="shared" si="27"/>
        <v>3792175105</v>
      </c>
      <c r="AE21" s="24">
        <f t="shared" si="28"/>
        <v>3880376643</v>
      </c>
      <c r="AF21" s="24">
        <f t="shared" si="29"/>
        <v>209116120</v>
      </c>
      <c r="AG21" s="24">
        <f t="shared" si="30"/>
        <v>1917568288</v>
      </c>
      <c r="AH21" s="24">
        <f t="shared" si="31"/>
        <v>3220603022</v>
      </c>
      <c r="AI21" s="24">
        <f t="shared" si="32"/>
        <v>969486100</v>
      </c>
      <c r="AJ21" s="24">
        <f t="shared" si="33"/>
        <v>2197805570</v>
      </c>
      <c r="AK21" s="24">
        <f t="shared" si="34"/>
        <v>298731896</v>
      </c>
      <c r="AL21" s="24">
        <f t="shared" si="35"/>
        <v>2753035984</v>
      </c>
      <c r="AM21" s="24">
        <f t="shared" si="36"/>
        <v>810091776</v>
      </c>
      <c r="AN21" s="24">
        <f t="shared" si="37"/>
        <v>2197192706</v>
      </c>
      <c r="AO21" s="24">
        <f t="shared" si="38"/>
        <v>1266870836</v>
      </c>
      <c r="AP21" s="24">
        <f t="shared" si="39"/>
        <v>1024023180</v>
      </c>
      <c r="AQ21" s="24">
        <f t="shared" si="40"/>
        <v>25315376</v>
      </c>
      <c r="AR21" s="24">
        <f t="shared" si="41"/>
        <v>604068480</v>
      </c>
      <c r="AS21" s="24">
        <f t="shared" si="42"/>
        <v>1514971980</v>
      </c>
      <c r="AT21" s="24">
        <f t="shared" si="43"/>
        <v>2568922204</v>
      </c>
      <c r="AU21" s="24">
        <f t="shared" si="44"/>
        <v>2634064397</v>
      </c>
      <c r="AV21" s="24">
        <f t="shared" si="45"/>
        <v>2216712192</v>
      </c>
      <c r="AW21" s="24">
        <f t="shared" si="46"/>
        <v>4592704</v>
      </c>
      <c r="AX21" s="24">
        <f t="shared" si="47"/>
        <v>8781858</v>
      </c>
      <c r="BA21" s="24">
        <f t="shared" si="48"/>
        <v>2638657101</v>
      </c>
      <c r="BB21" s="24">
        <f t="shared" si="49"/>
        <v>2225494050</v>
      </c>
      <c r="BC21" s="24">
        <f t="shared" si="50"/>
        <v>159186952</v>
      </c>
      <c r="BD21" s="24">
        <f t="shared" si="51"/>
        <v>2233500752</v>
      </c>
      <c r="BE21" s="24">
        <f t="shared" si="52"/>
        <v>159852552</v>
      </c>
      <c r="BF21" s="24">
        <f t="shared" si="53"/>
        <v>1663086674</v>
      </c>
      <c r="BG21" s="24">
        <f t="shared" si="54"/>
        <v>151327020</v>
      </c>
      <c r="BH21" s="24">
        <f t="shared" si="55"/>
        <v>18907225</v>
      </c>
      <c r="BI21" s="24">
        <f t="shared" si="56"/>
        <v>151322632</v>
      </c>
      <c r="BJ21" s="24">
        <f t="shared" si="57"/>
        <v>18907216</v>
      </c>
      <c r="BK21" s="24">
        <f t="shared" si="58"/>
        <v>167721260</v>
      </c>
      <c r="BL21" s="24">
        <f t="shared" si="59"/>
        <v>3877680219</v>
      </c>
      <c r="BM21" s="24">
        <f>MOD(R20+AF21+BB21+'📦 Константы SHA-512'!D19+BI215,4294967296)</f>
        <v>3020044745</v>
      </c>
      <c r="BN21" s="24">
        <f>INT((R20+AF21+BB21+'📦 Константы SHA-512'!D19+BI215)/4294967296)</f>
        <v>1</v>
      </c>
      <c r="BO21" s="24">
        <f>MOD(Q20+AE21+BA21+'📦 Константы SHA-512'!C19+BH215+BN21,4294967296)</f>
        <v>2250627273</v>
      </c>
      <c r="BP21" s="24" t="s">
        <v>313</v>
      </c>
      <c r="BQ21" s="24">
        <f t="shared" si="60"/>
        <v>2151635127</v>
      </c>
      <c r="BR21" s="24">
        <f t="shared" si="61"/>
        <v>1</v>
      </c>
      <c r="BS21" s="24">
        <f t="shared" si="62"/>
        <v>1682693241</v>
      </c>
      <c r="BU21" s="24">
        <f t="shared" si="63"/>
        <v>2906663134</v>
      </c>
      <c r="BV21" s="24">
        <f t="shared" si="64"/>
        <v>3994645094</v>
      </c>
      <c r="BW21" s="24">
        <f t="shared" si="65"/>
        <v>3933320515</v>
      </c>
      <c r="BX21" s="24">
        <f t="shared" si="66"/>
        <v>876712576</v>
      </c>
    </row>
    <row r="22" spans="2:76" ht="12.75" customHeight="1" x14ac:dyDescent="0.25">
      <c r="B22" s="25">
        <v>17</v>
      </c>
      <c r="C22" s="23">
        <f t="shared" si="0"/>
        <v>3618484607</v>
      </c>
      <c r="D22" s="23">
        <f t="shared" si="1"/>
        <v>3267073673</v>
      </c>
      <c r="E22" s="23">
        <f t="shared" si="2"/>
        <v>3933320515</v>
      </c>
      <c r="F22" s="23">
        <f t="shared" si="3"/>
        <v>876712576</v>
      </c>
      <c r="G22" s="23">
        <f t="shared" si="4"/>
        <v>201287688</v>
      </c>
      <c r="H22" s="23">
        <f t="shared" si="5"/>
        <v>3877944402</v>
      </c>
      <c r="I22" s="23">
        <f t="shared" si="6"/>
        <v>2373783917</v>
      </c>
      <c r="J22" s="23">
        <f t="shared" si="7"/>
        <v>2234565977</v>
      </c>
      <c r="K22" s="23">
        <f t="shared" si="8"/>
        <v>1180037208</v>
      </c>
      <c r="L22" s="23">
        <f t="shared" si="9"/>
        <v>3844791083</v>
      </c>
      <c r="M22" s="23">
        <f t="shared" si="10"/>
        <v>2906663134</v>
      </c>
      <c r="N22" s="23">
        <f t="shared" si="11"/>
        <v>3994645094</v>
      </c>
      <c r="O22" s="23">
        <f t="shared" si="12"/>
        <v>3718357949</v>
      </c>
      <c r="P22" s="23">
        <f t="shared" si="13"/>
        <v>3744553940</v>
      </c>
      <c r="Q22" s="23">
        <f t="shared" si="14"/>
        <v>2635250253</v>
      </c>
      <c r="R22" s="23">
        <f t="shared" si="15"/>
        <v>2216885249</v>
      </c>
      <c r="S22" s="24">
        <f t="shared" si="16"/>
        <v>3382359296</v>
      </c>
      <c r="T22" s="24">
        <f t="shared" si="17"/>
        <v>2742794341</v>
      </c>
      <c r="U22" s="24">
        <f t="shared" si="18"/>
        <v>1553574736</v>
      </c>
      <c r="V22" s="24">
        <f t="shared" si="19"/>
        <v>171424646</v>
      </c>
      <c r="W22" s="24">
        <f t="shared" si="20"/>
        <v>1870073017</v>
      </c>
      <c r="X22" s="24">
        <f t="shared" si="21"/>
        <v>861315092</v>
      </c>
      <c r="Y22" s="24">
        <f t="shared" si="22"/>
        <v>1217962240</v>
      </c>
      <c r="Z22" s="24">
        <f t="shared" si="23"/>
        <v>36943876</v>
      </c>
      <c r="AA22" s="24">
        <f t="shared" si="24"/>
        <v>2500009552</v>
      </c>
      <c r="AB22" s="24">
        <f t="shared" si="25"/>
        <v>2840331235</v>
      </c>
      <c r="AC22" s="24">
        <f t="shared" si="26"/>
        <v>84085776</v>
      </c>
      <c r="AD22" s="24">
        <f t="shared" si="27"/>
        <v>558104576</v>
      </c>
      <c r="AE22" s="24">
        <f t="shared" si="28"/>
        <v>4201911017</v>
      </c>
      <c r="AF22" s="24">
        <f t="shared" si="29"/>
        <v>2585437175</v>
      </c>
      <c r="AG22" s="24">
        <f t="shared" si="30"/>
        <v>1142499342</v>
      </c>
      <c r="AH22" s="24">
        <f t="shared" si="31"/>
        <v>2803586099</v>
      </c>
      <c r="AI22" s="24">
        <f t="shared" si="32"/>
        <v>3440403616</v>
      </c>
      <c r="AJ22" s="24">
        <f t="shared" si="33"/>
        <v>983330128</v>
      </c>
      <c r="AK22" s="24">
        <f t="shared" si="34"/>
        <v>2254996261</v>
      </c>
      <c r="AL22" s="24">
        <f t="shared" si="35"/>
        <v>30729066</v>
      </c>
      <c r="AM22" s="24">
        <f t="shared" si="36"/>
        <v>1141907456</v>
      </c>
      <c r="AN22" s="24">
        <f t="shared" si="37"/>
        <v>572015632</v>
      </c>
      <c r="AO22" s="24">
        <f t="shared" si="38"/>
        <v>2299088046</v>
      </c>
      <c r="AP22" s="24">
        <f t="shared" si="39"/>
        <v>2642884963</v>
      </c>
      <c r="AQ22" s="24">
        <f t="shared" si="40"/>
        <v>2148007972</v>
      </c>
      <c r="AR22" s="24">
        <f t="shared" si="41"/>
        <v>25436514</v>
      </c>
      <c r="AS22" s="24">
        <f t="shared" si="42"/>
        <v>258068363</v>
      </c>
      <c r="AT22" s="24">
        <f t="shared" si="43"/>
        <v>2622741001</v>
      </c>
      <c r="AU22" s="24">
        <f t="shared" si="44"/>
        <v>2365595804</v>
      </c>
      <c r="AV22" s="24">
        <f t="shared" si="45"/>
        <v>3457241668</v>
      </c>
      <c r="AW22" s="24">
        <f t="shared" si="46"/>
        <v>269652481</v>
      </c>
      <c r="AX22" s="24">
        <f t="shared" si="47"/>
        <v>2264065</v>
      </c>
      <c r="BA22" s="24">
        <f t="shared" si="48"/>
        <v>2635248285</v>
      </c>
      <c r="BB22" s="24">
        <f t="shared" si="49"/>
        <v>3459505733</v>
      </c>
      <c r="BC22" s="24">
        <f t="shared" si="50"/>
        <v>175185920</v>
      </c>
      <c r="BD22" s="24">
        <f t="shared" si="51"/>
        <v>604016640</v>
      </c>
      <c r="BE22" s="24">
        <f t="shared" si="52"/>
        <v>2289111361</v>
      </c>
      <c r="BF22" s="24">
        <f t="shared" si="53"/>
        <v>67141632</v>
      </c>
      <c r="BG22" s="24">
        <f t="shared" si="54"/>
        <v>159186952</v>
      </c>
      <c r="BH22" s="24">
        <f t="shared" si="55"/>
        <v>2233500752</v>
      </c>
      <c r="BI22" s="24">
        <f t="shared" si="56"/>
        <v>141623296</v>
      </c>
      <c r="BJ22" s="24">
        <f t="shared" si="57"/>
        <v>67141632</v>
      </c>
      <c r="BK22" s="24">
        <f t="shared" si="58"/>
        <v>2340237641</v>
      </c>
      <c r="BL22" s="24">
        <f t="shared" si="59"/>
        <v>2770375760</v>
      </c>
      <c r="BM22" s="24">
        <f>MOD(R21+AF22+BB22+'📦 Константы SHA-512'!D20+BI216,4294967296)</f>
        <v>2168924208</v>
      </c>
      <c r="BN22" s="24">
        <f>INT((R21+AF22+BB22+'📦 Константы SHA-512'!D20+BI216)/4294967296)</f>
        <v>2</v>
      </c>
      <c r="BO22" s="24">
        <f>MOD(Q21+AE22+BA22+'📦 Константы SHA-512'!C20+BH216+BN22,4294967296)</f>
        <v>1020178602</v>
      </c>
      <c r="BP22" s="24" t="s">
        <v>314</v>
      </c>
      <c r="BQ22" s="24">
        <f t="shared" si="60"/>
        <v>1098149465</v>
      </c>
      <c r="BR22" s="24">
        <f t="shared" si="61"/>
        <v>1</v>
      </c>
      <c r="BS22" s="24">
        <f t="shared" si="62"/>
        <v>2598306005</v>
      </c>
      <c r="BU22" s="24">
        <f t="shared" si="63"/>
        <v>1180037208</v>
      </c>
      <c r="BV22" s="24">
        <f t="shared" si="64"/>
        <v>3844791083</v>
      </c>
      <c r="BW22" s="24">
        <f t="shared" si="65"/>
        <v>3618484607</v>
      </c>
      <c r="BX22" s="24">
        <f t="shared" si="66"/>
        <v>3267073673</v>
      </c>
    </row>
    <row r="23" spans="2:76" ht="12.75" customHeight="1" x14ac:dyDescent="0.25">
      <c r="B23" s="27">
        <v>18</v>
      </c>
      <c r="C23" s="26">
        <f t="shared" si="0"/>
        <v>291253982</v>
      </c>
      <c r="D23" s="26">
        <f t="shared" si="1"/>
        <v>3861034100</v>
      </c>
      <c r="E23" s="26">
        <f t="shared" si="2"/>
        <v>3618484607</v>
      </c>
      <c r="F23" s="26">
        <f t="shared" si="3"/>
        <v>3267073673</v>
      </c>
      <c r="G23" s="26">
        <f t="shared" si="4"/>
        <v>3933320515</v>
      </c>
      <c r="H23" s="26">
        <f t="shared" si="5"/>
        <v>876712576</v>
      </c>
      <c r="I23" s="26">
        <f t="shared" si="6"/>
        <v>201287688</v>
      </c>
      <c r="J23" s="26">
        <f t="shared" si="7"/>
        <v>3877944402</v>
      </c>
      <c r="K23" s="26">
        <f t="shared" si="8"/>
        <v>2923992302</v>
      </c>
      <c r="L23" s="26">
        <f t="shared" si="9"/>
        <v>1754448524</v>
      </c>
      <c r="M23" s="26">
        <f t="shared" si="10"/>
        <v>1180037208</v>
      </c>
      <c r="N23" s="26">
        <f t="shared" si="11"/>
        <v>3844791083</v>
      </c>
      <c r="O23" s="26">
        <f t="shared" si="12"/>
        <v>2906663134</v>
      </c>
      <c r="P23" s="26">
        <f t="shared" si="13"/>
        <v>3994645094</v>
      </c>
      <c r="Q23" s="26">
        <f t="shared" si="14"/>
        <v>3718357949</v>
      </c>
      <c r="R23" s="26">
        <f t="shared" si="15"/>
        <v>3744553940</v>
      </c>
      <c r="S23" s="24">
        <f t="shared" si="16"/>
        <v>1823283543</v>
      </c>
      <c r="T23" s="24">
        <f t="shared" si="17"/>
        <v>3244528811</v>
      </c>
      <c r="U23" s="24">
        <f t="shared" si="18"/>
        <v>3066745237</v>
      </c>
      <c r="V23" s="24">
        <f t="shared" si="19"/>
        <v>2081831242</v>
      </c>
      <c r="W23" s="24">
        <f t="shared" si="20"/>
        <v>745706861</v>
      </c>
      <c r="X23" s="24">
        <f t="shared" si="21"/>
        <v>2510498552</v>
      </c>
      <c r="Y23" s="24">
        <f t="shared" si="22"/>
        <v>612897045</v>
      </c>
      <c r="Z23" s="24">
        <f t="shared" si="23"/>
        <v>1073877002</v>
      </c>
      <c r="AA23" s="24">
        <f t="shared" si="24"/>
        <v>3664234690</v>
      </c>
      <c r="AB23" s="24">
        <f t="shared" si="25"/>
        <v>3178606049</v>
      </c>
      <c r="AC23" s="24">
        <f t="shared" si="26"/>
        <v>140673088</v>
      </c>
      <c r="AD23" s="24">
        <f t="shared" si="27"/>
        <v>2501978336</v>
      </c>
      <c r="AE23" s="24">
        <f t="shared" si="28"/>
        <v>4128595375</v>
      </c>
      <c r="AF23" s="24">
        <f t="shared" si="29"/>
        <v>685147929</v>
      </c>
      <c r="AG23" s="24">
        <f t="shared" si="30"/>
        <v>733571229</v>
      </c>
      <c r="AH23" s="24">
        <f t="shared" si="31"/>
        <v>2061178876</v>
      </c>
      <c r="AI23" s="24">
        <f t="shared" si="32"/>
        <v>4037993890</v>
      </c>
      <c r="AJ23" s="24">
        <f t="shared" si="33"/>
        <v>1978362975</v>
      </c>
      <c r="AK23" s="24">
        <f t="shared" si="34"/>
        <v>4286936877</v>
      </c>
      <c r="AL23" s="24">
        <f t="shared" si="35"/>
        <v>330259298</v>
      </c>
      <c r="AM23" s="24">
        <f t="shared" si="36"/>
        <v>547905664</v>
      </c>
      <c r="AN23" s="24">
        <f t="shared" si="37"/>
        <v>1892353116</v>
      </c>
      <c r="AO23" s="24">
        <f t="shared" si="38"/>
        <v>3675753791</v>
      </c>
      <c r="AP23" s="24">
        <f t="shared" si="39"/>
        <v>254835619</v>
      </c>
      <c r="AQ23" s="24">
        <f t="shared" si="40"/>
        <v>3674539309</v>
      </c>
      <c r="AR23" s="24">
        <f t="shared" si="41"/>
        <v>52452130</v>
      </c>
      <c r="AS23" s="24">
        <f t="shared" si="42"/>
        <v>613612050</v>
      </c>
      <c r="AT23" s="24">
        <f t="shared" si="43"/>
        <v>480190657</v>
      </c>
      <c r="AU23" s="24">
        <f t="shared" si="44"/>
        <v>71311448</v>
      </c>
      <c r="AV23" s="24">
        <f t="shared" si="45"/>
        <v>3825750562</v>
      </c>
      <c r="AW23" s="24">
        <f t="shared" si="46"/>
        <v>2577400741</v>
      </c>
      <c r="AX23" s="24">
        <f t="shared" si="47"/>
        <v>437321940</v>
      </c>
      <c r="BA23" s="24">
        <f t="shared" si="48"/>
        <v>2648712189</v>
      </c>
      <c r="BB23" s="24">
        <f t="shared" si="49"/>
        <v>4263072502</v>
      </c>
      <c r="BC23" s="24">
        <f t="shared" si="50"/>
        <v>3256987971</v>
      </c>
      <c r="BD23" s="24">
        <f t="shared" si="51"/>
        <v>103040</v>
      </c>
      <c r="BE23" s="24">
        <f t="shared" si="52"/>
        <v>61677576</v>
      </c>
      <c r="BF23" s="24">
        <f t="shared" si="53"/>
        <v>3256914944</v>
      </c>
      <c r="BG23" s="24">
        <f t="shared" si="54"/>
        <v>175185920</v>
      </c>
      <c r="BH23" s="24">
        <f t="shared" si="55"/>
        <v>604016640</v>
      </c>
      <c r="BI23" s="24">
        <f t="shared" si="56"/>
        <v>35725312</v>
      </c>
      <c r="BJ23" s="24">
        <f t="shared" si="57"/>
        <v>36864</v>
      </c>
      <c r="BK23" s="24">
        <f t="shared" si="58"/>
        <v>3422400843</v>
      </c>
      <c r="BL23" s="24">
        <f t="shared" si="59"/>
        <v>3860960896</v>
      </c>
      <c r="BM23" s="24">
        <f>MOD(R22+AF23+BB23+'📦 Константы SHA-512'!D21+BI217,4294967296)</f>
        <v>3814849843</v>
      </c>
      <c r="BN23" s="24">
        <f>INT((R22+AF23+BB23+'📦 Константы SHA-512'!D21+BI217)/4294967296)</f>
        <v>1</v>
      </c>
      <c r="BO23" s="24">
        <f>MOD(Q22+AE23+BA23+'📦 Константы SHA-512'!C21+BH217+BN23,4294967296)</f>
        <v>550208384</v>
      </c>
      <c r="BP23" s="24" t="s">
        <v>315</v>
      </c>
      <c r="BQ23" s="24">
        <f t="shared" si="60"/>
        <v>46184257</v>
      </c>
      <c r="BR23" s="24">
        <f t="shared" si="61"/>
        <v>1</v>
      </c>
      <c r="BS23" s="24">
        <f t="shared" si="62"/>
        <v>4036012894</v>
      </c>
      <c r="BU23" s="24">
        <f t="shared" si="63"/>
        <v>2923992302</v>
      </c>
      <c r="BV23" s="24">
        <f t="shared" si="64"/>
        <v>1754448524</v>
      </c>
      <c r="BW23" s="24">
        <f t="shared" si="65"/>
        <v>291253982</v>
      </c>
      <c r="BX23" s="24">
        <f t="shared" si="66"/>
        <v>3861034100</v>
      </c>
    </row>
    <row r="24" spans="2:76" ht="12.75" customHeight="1" x14ac:dyDescent="0.25">
      <c r="B24" s="29">
        <v>19</v>
      </c>
      <c r="C24" s="28">
        <f t="shared" si="0"/>
        <v>1052915233</v>
      </c>
      <c r="D24" s="28">
        <f t="shared" si="1"/>
        <v>3249390223</v>
      </c>
      <c r="E24" s="28">
        <f t="shared" si="2"/>
        <v>291253982</v>
      </c>
      <c r="F24" s="28">
        <f t="shared" si="3"/>
        <v>3861034100</v>
      </c>
      <c r="G24" s="28">
        <f t="shared" si="4"/>
        <v>3618484607</v>
      </c>
      <c r="H24" s="28">
        <f t="shared" si="5"/>
        <v>3267073673</v>
      </c>
      <c r="I24" s="28">
        <f t="shared" si="6"/>
        <v>3933320515</v>
      </c>
      <c r="J24" s="28">
        <f t="shared" si="7"/>
        <v>876712576</v>
      </c>
      <c r="K24" s="28">
        <f t="shared" si="8"/>
        <v>282343829</v>
      </c>
      <c r="L24" s="28">
        <f t="shared" si="9"/>
        <v>3371666013</v>
      </c>
      <c r="M24" s="28">
        <f t="shared" si="10"/>
        <v>2923992302</v>
      </c>
      <c r="N24" s="28">
        <f t="shared" si="11"/>
        <v>1754448524</v>
      </c>
      <c r="O24" s="28">
        <f t="shared" si="12"/>
        <v>1180037208</v>
      </c>
      <c r="P24" s="28">
        <f t="shared" si="13"/>
        <v>3844791083</v>
      </c>
      <c r="Q24" s="28">
        <f t="shared" si="14"/>
        <v>2906663134</v>
      </c>
      <c r="R24" s="28">
        <f t="shared" si="15"/>
        <v>3994645094</v>
      </c>
      <c r="S24" s="24">
        <f t="shared" si="16"/>
        <v>171096354</v>
      </c>
      <c r="T24" s="24">
        <f t="shared" si="17"/>
        <v>1404674635</v>
      </c>
      <c r="U24" s="24">
        <f t="shared" si="18"/>
        <v>2963483538</v>
      </c>
      <c r="V24" s="24">
        <f t="shared" si="19"/>
        <v>624663076</v>
      </c>
      <c r="W24" s="24">
        <f t="shared" si="20"/>
        <v>1999915361</v>
      </c>
      <c r="X24" s="24">
        <f t="shared" si="21"/>
        <v>1180116042</v>
      </c>
      <c r="Y24" s="24">
        <f t="shared" si="22"/>
        <v>2238722</v>
      </c>
      <c r="Z24" s="24">
        <f t="shared" si="23"/>
        <v>20546048</v>
      </c>
      <c r="AA24" s="24">
        <f t="shared" si="24"/>
        <v>3130102448</v>
      </c>
      <c r="AB24" s="24">
        <f t="shared" si="25"/>
        <v>1988245615</v>
      </c>
      <c r="AC24" s="24">
        <f t="shared" si="26"/>
        <v>839909408</v>
      </c>
      <c r="AD24" s="24">
        <f t="shared" si="27"/>
        <v>1174544458</v>
      </c>
      <c r="AE24" s="24">
        <f t="shared" si="28"/>
        <v>3450198993</v>
      </c>
      <c r="AF24" s="24">
        <f t="shared" si="29"/>
        <v>819272741</v>
      </c>
      <c r="AG24" s="24">
        <f t="shared" si="30"/>
        <v>1647003457</v>
      </c>
      <c r="AH24" s="24">
        <f t="shared" si="31"/>
        <v>365096430</v>
      </c>
      <c r="AI24" s="24">
        <f t="shared" si="32"/>
        <v>3112742173</v>
      </c>
      <c r="AJ24" s="24">
        <f t="shared" si="33"/>
        <v>72813495</v>
      </c>
      <c r="AK24" s="24">
        <f t="shared" si="34"/>
        <v>3184280936</v>
      </c>
      <c r="AL24" s="24">
        <f t="shared" si="35"/>
        <v>3894589533</v>
      </c>
      <c r="AM24" s="24">
        <f t="shared" si="36"/>
        <v>537396481</v>
      </c>
      <c r="AN24" s="24">
        <f t="shared" si="37"/>
        <v>71436710</v>
      </c>
      <c r="AO24" s="24">
        <f t="shared" si="38"/>
        <v>3684952668</v>
      </c>
      <c r="AP24" s="24">
        <f t="shared" si="39"/>
        <v>295036505</v>
      </c>
      <c r="AQ24" s="24">
        <f t="shared" si="40"/>
        <v>2575319112</v>
      </c>
      <c r="AR24" s="24">
        <f t="shared" si="41"/>
        <v>41049</v>
      </c>
      <c r="AS24" s="24">
        <f t="shared" si="42"/>
        <v>1718595380</v>
      </c>
      <c r="AT24" s="24">
        <f t="shared" si="43"/>
        <v>4189543940</v>
      </c>
      <c r="AU24" s="24">
        <f t="shared" si="44"/>
        <v>104894536</v>
      </c>
      <c r="AV24" s="24">
        <f t="shared" si="45"/>
        <v>1610793480</v>
      </c>
      <c r="AW24" s="24">
        <f t="shared" si="46"/>
        <v>16787472</v>
      </c>
      <c r="AX24" s="24">
        <f t="shared" si="47"/>
        <v>2248749154</v>
      </c>
      <c r="BA24" s="24">
        <f t="shared" si="48"/>
        <v>121682008</v>
      </c>
      <c r="BB24" s="24">
        <f t="shared" si="49"/>
        <v>3859542634</v>
      </c>
      <c r="BC24" s="24">
        <f t="shared" si="50"/>
        <v>286007390</v>
      </c>
      <c r="BD24" s="24">
        <f t="shared" si="51"/>
        <v>3257046016</v>
      </c>
      <c r="BE24" s="24">
        <f t="shared" si="52"/>
        <v>5252162</v>
      </c>
      <c r="BF24" s="24">
        <f t="shared" si="53"/>
        <v>604016640</v>
      </c>
      <c r="BG24" s="24">
        <f t="shared" si="54"/>
        <v>3256987971</v>
      </c>
      <c r="BH24" s="24">
        <f t="shared" si="55"/>
        <v>103040</v>
      </c>
      <c r="BI24" s="24">
        <f t="shared" si="56"/>
        <v>8258</v>
      </c>
      <c r="BJ24" s="24">
        <f t="shared" si="57"/>
        <v>36864</v>
      </c>
      <c r="BK24" s="24">
        <f t="shared" si="58"/>
        <v>3548231007</v>
      </c>
      <c r="BL24" s="24">
        <f t="shared" si="59"/>
        <v>3861091968</v>
      </c>
      <c r="BM24" s="24">
        <f>MOD(R23+AF24+BB24+'📦 Константы SHA-512'!D22+BI218,4294967296)</f>
        <v>3788688907</v>
      </c>
      <c r="BN24" s="24">
        <f>INT((R23+AF24+BB24+'📦 Константы SHA-512'!D22+BI218)/4294967296)</f>
        <v>2</v>
      </c>
      <c r="BO24" s="24">
        <f>MOD(Q23+AE24+BA24+'📦 Константы SHA-512'!C22+BH218+BN24,4294967296)</f>
        <v>81056140</v>
      </c>
      <c r="BP24" s="24" t="s">
        <v>316</v>
      </c>
      <c r="BQ24" s="24">
        <f t="shared" si="60"/>
        <v>3755668612</v>
      </c>
      <c r="BR24" s="24">
        <f t="shared" si="61"/>
        <v>1</v>
      </c>
      <c r="BS24" s="24">
        <f t="shared" si="62"/>
        <v>971859092</v>
      </c>
      <c r="BU24" s="24">
        <f t="shared" si="63"/>
        <v>282343829</v>
      </c>
      <c r="BV24" s="24">
        <f t="shared" si="64"/>
        <v>3371666013</v>
      </c>
      <c r="BW24" s="24">
        <f t="shared" si="65"/>
        <v>1052915233</v>
      </c>
      <c r="BX24" s="24">
        <f t="shared" si="66"/>
        <v>3249390223</v>
      </c>
    </row>
    <row r="25" spans="2:76" ht="12.75" customHeight="1" x14ac:dyDescent="0.25">
      <c r="B25" s="31">
        <v>20</v>
      </c>
      <c r="C25" s="30">
        <f t="shared" si="0"/>
        <v>1503028846</v>
      </c>
      <c r="D25" s="30">
        <f t="shared" si="1"/>
        <v>984951426</v>
      </c>
      <c r="E25" s="30">
        <f t="shared" si="2"/>
        <v>1052915233</v>
      </c>
      <c r="F25" s="30">
        <f t="shared" si="3"/>
        <v>3249390223</v>
      </c>
      <c r="G25" s="30">
        <f t="shared" si="4"/>
        <v>291253982</v>
      </c>
      <c r="H25" s="30">
        <f t="shared" si="5"/>
        <v>3861034100</v>
      </c>
      <c r="I25" s="30">
        <f t="shared" si="6"/>
        <v>3618484607</v>
      </c>
      <c r="J25" s="30">
        <f t="shared" si="7"/>
        <v>3267073673</v>
      </c>
      <c r="K25" s="30">
        <f t="shared" si="8"/>
        <v>50848092</v>
      </c>
      <c r="L25" s="30">
        <f t="shared" si="9"/>
        <v>1851570813</v>
      </c>
      <c r="M25" s="30">
        <f t="shared" si="10"/>
        <v>282343829</v>
      </c>
      <c r="N25" s="30">
        <f t="shared" si="11"/>
        <v>3371666013</v>
      </c>
      <c r="O25" s="30">
        <f t="shared" si="12"/>
        <v>2923992302</v>
      </c>
      <c r="P25" s="30">
        <f t="shared" si="13"/>
        <v>1754448524</v>
      </c>
      <c r="Q25" s="30">
        <f t="shared" si="14"/>
        <v>1180037208</v>
      </c>
      <c r="R25" s="30">
        <f t="shared" si="15"/>
        <v>3844791083</v>
      </c>
      <c r="S25" s="24">
        <f t="shared" si="16"/>
        <v>695485264</v>
      </c>
      <c r="T25" s="24">
        <f t="shared" si="17"/>
        <v>3864470494</v>
      </c>
      <c r="U25" s="24">
        <f t="shared" si="18"/>
        <v>3801564213</v>
      </c>
      <c r="V25" s="24">
        <f t="shared" si="19"/>
        <v>241529405</v>
      </c>
      <c r="W25" s="24">
        <f t="shared" si="20"/>
        <v>3403971525</v>
      </c>
      <c r="X25" s="24">
        <f t="shared" si="21"/>
        <v>780691996</v>
      </c>
      <c r="Y25" s="24">
        <f t="shared" si="22"/>
        <v>538198032</v>
      </c>
      <c r="Z25" s="24">
        <f t="shared" si="23"/>
        <v>105194012</v>
      </c>
      <c r="AA25" s="24">
        <f t="shared" si="24"/>
        <v>3420653413</v>
      </c>
      <c r="AB25" s="24">
        <f t="shared" si="25"/>
        <v>3895611875</v>
      </c>
      <c r="AC25" s="24">
        <f t="shared" si="26"/>
        <v>3403678533</v>
      </c>
      <c r="AD25" s="24">
        <f t="shared" si="27"/>
        <v>671105024</v>
      </c>
      <c r="AE25" s="24">
        <f t="shared" si="28"/>
        <v>17267872</v>
      </c>
      <c r="AF25" s="24">
        <f t="shared" si="29"/>
        <v>3334093823</v>
      </c>
      <c r="AG25" s="24">
        <f t="shared" si="30"/>
        <v>450636019</v>
      </c>
      <c r="AH25" s="24">
        <f t="shared" si="31"/>
        <v>3961741852</v>
      </c>
      <c r="AI25" s="24">
        <f t="shared" si="32"/>
        <v>1886089379</v>
      </c>
      <c r="AJ25" s="24">
        <f t="shared" si="33"/>
        <v>3484454280</v>
      </c>
      <c r="AK25" s="24">
        <f t="shared" si="34"/>
        <v>1132682117</v>
      </c>
      <c r="AL25" s="24">
        <f t="shared" si="35"/>
        <v>511542380</v>
      </c>
      <c r="AM25" s="24">
        <f t="shared" si="36"/>
        <v>273162403</v>
      </c>
      <c r="AN25" s="24">
        <f t="shared" si="37"/>
        <v>3424649224</v>
      </c>
      <c r="AO25" s="24">
        <f t="shared" si="38"/>
        <v>1790400592</v>
      </c>
      <c r="AP25" s="24">
        <f t="shared" si="39"/>
        <v>596897684</v>
      </c>
      <c r="AQ25" s="24">
        <f t="shared" si="40"/>
        <v>1115904000</v>
      </c>
      <c r="AR25" s="24">
        <f t="shared" si="41"/>
        <v>34702340</v>
      </c>
      <c r="AS25" s="24">
        <f t="shared" si="42"/>
        <v>691274709</v>
      </c>
      <c r="AT25" s="24">
        <f t="shared" si="43"/>
        <v>1039035384</v>
      </c>
      <c r="AU25" s="24">
        <f t="shared" si="44"/>
        <v>4198532</v>
      </c>
      <c r="AV25" s="24">
        <f t="shared" si="45"/>
        <v>1217561100</v>
      </c>
      <c r="AW25" s="24">
        <f t="shared" si="46"/>
        <v>1174519880</v>
      </c>
      <c r="AX25" s="24">
        <f t="shared" si="47"/>
        <v>621302050</v>
      </c>
      <c r="BA25" s="24">
        <f t="shared" si="48"/>
        <v>1178718412</v>
      </c>
      <c r="BB25" s="24">
        <f t="shared" si="49"/>
        <v>1838863150</v>
      </c>
      <c r="BC25" s="24">
        <f t="shared" si="50"/>
        <v>272639488</v>
      </c>
      <c r="BD25" s="24">
        <f t="shared" si="51"/>
        <v>3223355396</v>
      </c>
      <c r="BE25" s="24">
        <f t="shared" si="52"/>
        <v>377499681</v>
      </c>
      <c r="BF25" s="24">
        <f t="shared" si="53"/>
        <v>3232334473</v>
      </c>
      <c r="BG25" s="24">
        <f t="shared" si="54"/>
        <v>286007390</v>
      </c>
      <c r="BH25" s="24">
        <f t="shared" si="55"/>
        <v>3257046016</v>
      </c>
      <c r="BI25" s="24">
        <f t="shared" si="56"/>
        <v>268443648</v>
      </c>
      <c r="BJ25" s="24">
        <f t="shared" si="57"/>
        <v>3223355392</v>
      </c>
      <c r="BK25" s="24">
        <f t="shared" si="58"/>
        <v>399259263</v>
      </c>
      <c r="BL25" s="24">
        <f t="shared" si="59"/>
        <v>3266025101</v>
      </c>
      <c r="BM25" s="24">
        <f>MOD(R24+AF25+BB25+'📦 Константы SHA-512'!D23+BI219,4294967296)</f>
        <v>974858237</v>
      </c>
      <c r="BN25" s="24">
        <f>INT((R24+AF25+BB25+'📦 Константы SHA-512'!D23+BI219)/4294967296)</f>
        <v>3</v>
      </c>
      <c r="BO25" s="24">
        <f>MOD(Q24+AE25+BA25+'📦 Константы SHA-512'!C23+BH219+BN25,4294967296)</f>
        <v>412494873</v>
      </c>
      <c r="BP25" s="24" t="s">
        <v>317</v>
      </c>
      <c r="BQ25" s="24">
        <f t="shared" si="60"/>
        <v>10093189</v>
      </c>
      <c r="BR25" s="24">
        <f t="shared" si="61"/>
        <v>1</v>
      </c>
      <c r="BS25" s="24">
        <f t="shared" si="62"/>
        <v>1090533973</v>
      </c>
      <c r="BU25" s="24">
        <f t="shared" si="63"/>
        <v>50848092</v>
      </c>
      <c r="BV25" s="24">
        <f t="shared" si="64"/>
        <v>1851570813</v>
      </c>
      <c r="BW25" s="24">
        <f t="shared" si="65"/>
        <v>1503028846</v>
      </c>
      <c r="BX25" s="24">
        <f t="shared" si="66"/>
        <v>984951426</v>
      </c>
    </row>
    <row r="26" spans="2:76" ht="12.75" customHeight="1" x14ac:dyDescent="0.25">
      <c r="B26" s="22">
        <v>21</v>
      </c>
      <c r="C26" s="32">
        <f t="shared" si="0"/>
        <v>36438413</v>
      </c>
      <c r="D26" s="32">
        <f t="shared" si="1"/>
        <v>3767643511</v>
      </c>
      <c r="E26" s="32">
        <f t="shared" si="2"/>
        <v>1503028846</v>
      </c>
      <c r="F26" s="32">
        <f t="shared" si="3"/>
        <v>984951426</v>
      </c>
      <c r="G26" s="32">
        <f t="shared" si="4"/>
        <v>1052915233</v>
      </c>
      <c r="H26" s="32">
        <f t="shared" si="5"/>
        <v>3249390223</v>
      </c>
      <c r="I26" s="32">
        <f t="shared" si="6"/>
        <v>291253982</v>
      </c>
      <c r="J26" s="32">
        <f t="shared" si="7"/>
        <v>3861034100</v>
      </c>
      <c r="K26" s="32">
        <f t="shared" si="8"/>
        <v>3329819598</v>
      </c>
      <c r="L26" s="32">
        <f t="shared" si="9"/>
        <v>3036073414</v>
      </c>
      <c r="M26" s="32">
        <f t="shared" si="10"/>
        <v>50848092</v>
      </c>
      <c r="N26" s="32">
        <f t="shared" si="11"/>
        <v>1851570813</v>
      </c>
      <c r="O26" s="32">
        <f t="shared" si="12"/>
        <v>282343829</v>
      </c>
      <c r="P26" s="32">
        <f t="shared" si="13"/>
        <v>3371666013</v>
      </c>
      <c r="Q26" s="32">
        <f t="shared" si="14"/>
        <v>2923992302</v>
      </c>
      <c r="R26" s="32">
        <f t="shared" si="15"/>
        <v>1754448524</v>
      </c>
      <c r="S26" s="24">
        <f t="shared" si="16"/>
        <v>3925085215</v>
      </c>
      <c r="T26" s="24">
        <f t="shared" si="17"/>
        <v>2238822770</v>
      </c>
      <c r="U26" s="24">
        <f t="shared" si="18"/>
        <v>782188737</v>
      </c>
      <c r="V26" s="24">
        <f t="shared" si="19"/>
        <v>4166458263</v>
      </c>
      <c r="W26" s="24">
        <f t="shared" si="20"/>
        <v>2922851933</v>
      </c>
      <c r="X26" s="24">
        <f t="shared" si="21"/>
        <v>1048675312</v>
      </c>
      <c r="Y26" s="24">
        <f t="shared" si="22"/>
        <v>680787969</v>
      </c>
      <c r="Z26" s="24">
        <f t="shared" si="23"/>
        <v>2152798482</v>
      </c>
      <c r="AA26" s="24">
        <f t="shared" si="24"/>
        <v>3345698014</v>
      </c>
      <c r="AB26" s="24">
        <f t="shared" si="25"/>
        <v>2099684069</v>
      </c>
      <c r="AC26" s="24">
        <f t="shared" si="26"/>
        <v>2250443868</v>
      </c>
      <c r="AD26" s="24">
        <f t="shared" si="27"/>
        <v>1006666464</v>
      </c>
      <c r="AE26" s="24">
        <f t="shared" si="28"/>
        <v>1767662211</v>
      </c>
      <c r="AF26" s="24">
        <f t="shared" si="29"/>
        <v>1135026453</v>
      </c>
      <c r="AG26" s="24">
        <f t="shared" si="30"/>
        <v>2874320933</v>
      </c>
      <c r="AH26" s="24">
        <f t="shared" si="31"/>
        <v>2573625059</v>
      </c>
      <c r="AI26" s="24">
        <f t="shared" si="32"/>
        <v>2393721504</v>
      </c>
      <c r="AJ26" s="24">
        <f t="shared" si="33"/>
        <v>2523240859</v>
      </c>
      <c r="AK26" s="24">
        <f t="shared" si="34"/>
        <v>3698682453</v>
      </c>
      <c r="AL26" s="24">
        <f t="shared" si="35"/>
        <v>78851276</v>
      </c>
      <c r="AM26" s="24">
        <f t="shared" si="36"/>
        <v>2315257888</v>
      </c>
      <c r="AN26" s="24">
        <f t="shared" si="37"/>
        <v>2422472835</v>
      </c>
      <c r="AO26" s="24">
        <f t="shared" si="38"/>
        <v>637526661</v>
      </c>
      <c r="AP26" s="24">
        <f t="shared" si="39"/>
        <v>251920248</v>
      </c>
      <c r="AQ26" s="24">
        <f t="shared" si="40"/>
        <v>74801669</v>
      </c>
      <c r="AR26" s="24">
        <f t="shared" si="41"/>
        <v>67316808</v>
      </c>
      <c r="AS26" s="24">
        <f t="shared" si="42"/>
        <v>4186605776</v>
      </c>
      <c r="AT26" s="24">
        <f t="shared" si="43"/>
        <v>196137908</v>
      </c>
      <c r="AU26" s="24">
        <f t="shared" si="44"/>
        <v>270612</v>
      </c>
      <c r="AV26" s="24">
        <f t="shared" si="45"/>
        <v>1213499997</v>
      </c>
      <c r="AW26" s="24">
        <f t="shared" si="46"/>
        <v>2890405026</v>
      </c>
      <c r="AX26" s="24">
        <f t="shared" si="47"/>
        <v>8536192</v>
      </c>
      <c r="BA26" s="24">
        <f t="shared" si="48"/>
        <v>2890675638</v>
      </c>
      <c r="BB26" s="24">
        <f t="shared" si="49"/>
        <v>1222036189</v>
      </c>
      <c r="BC26" s="24">
        <f t="shared" si="50"/>
        <v>411182624</v>
      </c>
      <c r="BD26" s="24">
        <f t="shared" si="51"/>
        <v>10814082</v>
      </c>
      <c r="BE26" s="24">
        <f t="shared" si="52"/>
        <v>286533198</v>
      </c>
      <c r="BF26" s="24">
        <f t="shared" si="53"/>
        <v>572530688</v>
      </c>
      <c r="BG26" s="24">
        <f t="shared" si="54"/>
        <v>272639488</v>
      </c>
      <c r="BH26" s="24">
        <f t="shared" si="55"/>
        <v>3223355396</v>
      </c>
      <c r="BI26" s="24">
        <f t="shared" si="56"/>
        <v>268445184</v>
      </c>
      <c r="BJ26" s="24">
        <f t="shared" si="57"/>
        <v>2097152</v>
      </c>
      <c r="BK26" s="24">
        <f t="shared" si="58"/>
        <v>433464942</v>
      </c>
      <c r="BL26" s="24">
        <f t="shared" si="59"/>
        <v>3802505862</v>
      </c>
      <c r="BM26" s="24">
        <f>MOD(R25+AF26+BB26+'📦 Константы SHA-512'!D24+BI220,4294967296)</f>
        <v>4063967037</v>
      </c>
      <c r="BN26" s="24">
        <f>INT((R25+AF26+BB26+'📦 Константы SHA-512'!D24+BI220)/4294967296)</f>
        <v>1</v>
      </c>
      <c r="BO26" s="24">
        <f>MOD(Q25+AE26+BA26+'📦 Константы SHA-512'!C24+BH220+BN26,4294967296)</f>
        <v>4006302286</v>
      </c>
      <c r="BP26" s="24" t="s">
        <v>318</v>
      </c>
      <c r="BQ26" s="24">
        <f t="shared" si="60"/>
        <v>3998643770</v>
      </c>
      <c r="BR26" s="24">
        <f t="shared" si="61"/>
        <v>0</v>
      </c>
      <c r="BS26" s="24">
        <f t="shared" si="62"/>
        <v>325103422</v>
      </c>
      <c r="BU26" s="24">
        <f t="shared" si="63"/>
        <v>3329819598</v>
      </c>
      <c r="BV26" s="24">
        <f t="shared" si="64"/>
        <v>3036073414</v>
      </c>
      <c r="BW26" s="24">
        <f t="shared" si="65"/>
        <v>36438413</v>
      </c>
      <c r="BX26" s="24">
        <f t="shared" si="66"/>
        <v>3767643511</v>
      </c>
    </row>
    <row r="27" spans="2:76" ht="12.75" customHeight="1" x14ac:dyDescent="0.25">
      <c r="B27" s="25">
        <v>22</v>
      </c>
      <c r="C27" s="34">
        <f t="shared" si="0"/>
        <v>4114148364</v>
      </c>
      <c r="D27" s="34">
        <f t="shared" si="1"/>
        <v>3711869720</v>
      </c>
      <c r="E27" s="34">
        <f t="shared" si="2"/>
        <v>36438413</v>
      </c>
      <c r="F27" s="34">
        <f t="shared" si="3"/>
        <v>3767643511</v>
      </c>
      <c r="G27" s="34">
        <f t="shared" si="4"/>
        <v>1503028846</v>
      </c>
      <c r="H27" s="34">
        <f t="shared" si="5"/>
        <v>984951426</v>
      </c>
      <c r="I27" s="34">
        <f t="shared" si="6"/>
        <v>1052915233</v>
      </c>
      <c r="J27" s="34">
        <f t="shared" si="7"/>
        <v>3249390223</v>
      </c>
      <c r="K27" s="34">
        <f t="shared" si="8"/>
        <v>2165265734</v>
      </c>
      <c r="L27" s="34">
        <f t="shared" si="9"/>
        <v>3596381255</v>
      </c>
      <c r="M27" s="34">
        <f t="shared" si="10"/>
        <v>3329819598</v>
      </c>
      <c r="N27" s="34">
        <f t="shared" si="11"/>
        <v>3036073414</v>
      </c>
      <c r="O27" s="34">
        <f t="shared" si="12"/>
        <v>50848092</v>
      </c>
      <c r="P27" s="34">
        <f t="shared" si="13"/>
        <v>1851570813</v>
      </c>
      <c r="Q27" s="34">
        <f t="shared" si="14"/>
        <v>282343829</v>
      </c>
      <c r="R27" s="34">
        <f t="shared" si="15"/>
        <v>3371666013</v>
      </c>
      <c r="S27" s="24">
        <f t="shared" si="16"/>
        <v>924522980</v>
      </c>
      <c r="T27" s="24">
        <f t="shared" si="17"/>
        <v>255513563</v>
      </c>
      <c r="U27" s="24">
        <f t="shared" si="18"/>
        <v>3010572702</v>
      </c>
      <c r="V27" s="24">
        <f t="shared" si="19"/>
        <v>1089711421</v>
      </c>
      <c r="W27" s="24">
        <f t="shared" si="20"/>
        <v>3881466726</v>
      </c>
      <c r="X27" s="24">
        <f t="shared" si="21"/>
        <v>3814931585</v>
      </c>
      <c r="Y27" s="24">
        <f t="shared" si="22"/>
        <v>856756612</v>
      </c>
      <c r="Z27" s="24">
        <f t="shared" si="23"/>
        <v>3309849</v>
      </c>
      <c r="AA27" s="24">
        <f t="shared" si="24"/>
        <v>2221582458</v>
      </c>
      <c r="AB27" s="24">
        <f t="shared" si="25"/>
        <v>1338605286</v>
      </c>
      <c r="AC27" s="24">
        <f t="shared" si="26"/>
        <v>2219452514</v>
      </c>
      <c r="AD27" s="24">
        <f t="shared" si="27"/>
        <v>1128348800</v>
      </c>
      <c r="AE27" s="24">
        <f t="shared" si="28"/>
        <v>1664144156</v>
      </c>
      <c r="AF27" s="24">
        <f t="shared" si="29"/>
        <v>2896839271</v>
      </c>
      <c r="AG27" s="24">
        <f t="shared" si="30"/>
        <v>152754032</v>
      </c>
      <c r="AH27" s="24">
        <f t="shared" si="31"/>
        <v>583014622</v>
      </c>
      <c r="AI27" s="24">
        <f t="shared" si="32"/>
        <v>2015652701</v>
      </c>
      <c r="AJ27" s="24">
        <f t="shared" si="33"/>
        <v>3230335075</v>
      </c>
      <c r="AK27" s="24">
        <f t="shared" si="34"/>
        <v>465642330</v>
      </c>
      <c r="AL27" s="24">
        <f t="shared" si="35"/>
        <v>3993262083</v>
      </c>
      <c r="AM27" s="24">
        <f t="shared" si="36"/>
        <v>134234960</v>
      </c>
      <c r="AN27" s="24">
        <f t="shared" si="37"/>
        <v>8388674</v>
      </c>
      <c r="AO27" s="24">
        <f t="shared" si="38"/>
        <v>1899936813</v>
      </c>
      <c r="AP27" s="24">
        <f t="shared" si="39"/>
        <v>3796572349</v>
      </c>
      <c r="AQ27" s="24">
        <f t="shared" si="40"/>
        <v>285220872</v>
      </c>
      <c r="AR27" s="24">
        <f t="shared" si="41"/>
        <v>3791656961</v>
      </c>
      <c r="AS27" s="24">
        <f t="shared" si="42"/>
        <v>1795137399</v>
      </c>
      <c r="AT27" s="24">
        <f t="shared" si="43"/>
        <v>206520510</v>
      </c>
      <c r="AU27" s="24">
        <f t="shared" si="44"/>
        <v>33620300</v>
      </c>
      <c r="AV27" s="24">
        <f t="shared" si="45"/>
        <v>609519684</v>
      </c>
      <c r="AW27" s="24">
        <f t="shared" si="46"/>
        <v>277100561</v>
      </c>
      <c r="AX27" s="24">
        <f t="shared" si="47"/>
        <v>1208025625</v>
      </c>
      <c r="BA27" s="24">
        <f t="shared" si="48"/>
        <v>310720861</v>
      </c>
      <c r="BB27" s="24">
        <f t="shared" si="49"/>
        <v>1817545309</v>
      </c>
      <c r="BC27" s="24">
        <f t="shared" si="50"/>
        <v>262156</v>
      </c>
      <c r="BD27" s="24">
        <f t="shared" si="51"/>
        <v>546383874</v>
      </c>
      <c r="BE27" s="24">
        <f t="shared" si="52"/>
        <v>33554433</v>
      </c>
      <c r="BF27" s="24">
        <f t="shared" si="53"/>
        <v>3229712391</v>
      </c>
      <c r="BG27" s="24">
        <f t="shared" si="54"/>
        <v>411182624</v>
      </c>
      <c r="BH27" s="24">
        <f t="shared" si="55"/>
        <v>10814082</v>
      </c>
      <c r="BI27" s="24">
        <f t="shared" si="56"/>
        <v>0</v>
      </c>
      <c r="BJ27" s="24">
        <f t="shared" si="57"/>
        <v>8454146</v>
      </c>
      <c r="BK27" s="24">
        <f t="shared" si="58"/>
        <v>444999213</v>
      </c>
      <c r="BL27" s="24">
        <f t="shared" si="59"/>
        <v>3770002055</v>
      </c>
      <c r="BM27" s="24">
        <f>MOD(R26+AF27+BB27+'📦 Константы SHA-512'!D25+BI221,4294967296)</f>
        <v>4030314451</v>
      </c>
      <c r="BN27" s="24">
        <f>INT((R26+AF27+BB27+'📦 Константы SHA-512'!D25+BI221)/4294967296)</f>
        <v>1</v>
      </c>
      <c r="BO27" s="24">
        <f>MOD(Q26+AE27+BA27+'📦 Константы SHA-512'!C25+BH221+BN27,4294967296)</f>
        <v>1874011751</v>
      </c>
      <c r="BP27" s="24" t="s">
        <v>319</v>
      </c>
      <c r="BQ27" s="24">
        <f t="shared" si="60"/>
        <v>3976522565</v>
      </c>
      <c r="BR27" s="24">
        <f t="shared" si="61"/>
        <v>0</v>
      </c>
      <c r="BS27" s="24">
        <f t="shared" si="62"/>
        <v>2240136612</v>
      </c>
      <c r="BU27" s="24">
        <f t="shared" si="63"/>
        <v>2165265734</v>
      </c>
      <c r="BV27" s="24">
        <f t="shared" si="64"/>
        <v>3596381255</v>
      </c>
      <c r="BW27" s="24">
        <f t="shared" si="65"/>
        <v>4114148364</v>
      </c>
      <c r="BX27" s="24">
        <f t="shared" si="66"/>
        <v>3711869720</v>
      </c>
    </row>
    <row r="28" spans="2:76" ht="12.75" customHeight="1" x14ac:dyDescent="0.25">
      <c r="B28" s="27">
        <v>23</v>
      </c>
      <c r="C28" s="36">
        <f t="shared" si="0"/>
        <v>311009206</v>
      </c>
      <c r="D28" s="36">
        <f t="shared" si="1"/>
        <v>3121109324</v>
      </c>
      <c r="E28" s="36">
        <f t="shared" si="2"/>
        <v>4114148364</v>
      </c>
      <c r="F28" s="36">
        <f t="shared" si="3"/>
        <v>3711869720</v>
      </c>
      <c r="G28" s="36">
        <f t="shared" si="4"/>
        <v>36438413</v>
      </c>
      <c r="H28" s="36">
        <f t="shared" si="5"/>
        <v>3767643511</v>
      </c>
      <c r="I28" s="36">
        <f t="shared" si="6"/>
        <v>1503028846</v>
      </c>
      <c r="J28" s="36">
        <f t="shared" si="7"/>
        <v>984951426</v>
      </c>
      <c r="K28" s="36">
        <f t="shared" si="8"/>
        <v>49253820</v>
      </c>
      <c r="L28" s="36">
        <f t="shared" si="9"/>
        <v>601220787</v>
      </c>
      <c r="M28" s="36">
        <f t="shared" si="10"/>
        <v>2165265734</v>
      </c>
      <c r="N28" s="36">
        <f t="shared" si="11"/>
        <v>3596381255</v>
      </c>
      <c r="O28" s="36">
        <f t="shared" si="12"/>
        <v>3329819598</v>
      </c>
      <c r="P28" s="36">
        <f t="shared" si="13"/>
        <v>3036073414</v>
      </c>
      <c r="Q28" s="36">
        <f t="shared" si="14"/>
        <v>50848092</v>
      </c>
      <c r="R28" s="36">
        <f t="shared" si="15"/>
        <v>1851570813</v>
      </c>
      <c r="S28" s="24">
        <f t="shared" si="16"/>
        <v>2971534397</v>
      </c>
      <c r="T28" s="24">
        <f t="shared" si="17"/>
        <v>1427855729</v>
      </c>
      <c r="U28" s="24">
        <f t="shared" si="18"/>
        <v>454156355</v>
      </c>
      <c r="V28" s="24">
        <f t="shared" si="19"/>
        <v>3578901911</v>
      </c>
      <c r="W28" s="24">
        <f t="shared" si="20"/>
        <v>2741710390</v>
      </c>
      <c r="X28" s="24">
        <f t="shared" si="21"/>
        <v>599820202</v>
      </c>
      <c r="Y28" s="24">
        <f t="shared" si="22"/>
        <v>286261249</v>
      </c>
      <c r="Z28" s="24">
        <f t="shared" si="23"/>
        <v>1427181841</v>
      </c>
      <c r="AA28" s="24">
        <f t="shared" si="24"/>
        <v>2853168254</v>
      </c>
      <c r="AB28" s="24">
        <f t="shared" si="25"/>
        <v>2152393958</v>
      </c>
      <c r="AC28" s="24">
        <f t="shared" si="26"/>
        <v>2718639158</v>
      </c>
      <c r="AD28" s="24">
        <f t="shared" si="27"/>
        <v>4228258</v>
      </c>
      <c r="AE28" s="24">
        <f t="shared" si="28"/>
        <v>157600328</v>
      </c>
      <c r="AF28" s="24">
        <f t="shared" si="29"/>
        <v>2743757644</v>
      </c>
      <c r="AG28" s="24">
        <f t="shared" si="30"/>
        <v>3555340687</v>
      </c>
      <c r="AH28" s="24">
        <f t="shared" si="31"/>
        <v>1401864397</v>
      </c>
      <c r="AI28" s="24">
        <f t="shared" si="32"/>
        <v>927967430</v>
      </c>
      <c r="AJ28" s="24">
        <f t="shared" si="33"/>
        <v>1028537091</v>
      </c>
      <c r="AK28" s="24">
        <f t="shared" si="34"/>
        <v>431652166</v>
      </c>
      <c r="AL28" s="24">
        <f t="shared" si="35"/>
        <v>837448152</v>
      </c>
      <c r="AM28" s="24">
        <f t="shared" si="36"/>
        <v>323625094</v>
      </c>
      <c r="AN28" s="24">
        <f t="shared" si="37"/>
        <v>286130177</v>
      </c>
      <c r="AO28" s="24">
        <f t="shared" si="38"/>
        <v>3836057929</v>
      </c>
      <c r="AP28" s="24">
        <f t="shared" si="39"/>
        <v>1858141134</v>
      </c>
      <c r="AQ28" s="24">
        <f t="shared" si="40"/>
        <v>10492224</v>
      </c>
      <c r="AR28" s="24">
        <f t="shared" si="41"/>
        <v>549482952</v>
      </c>
      <c r="AS28" s="24">
        <f t="shared" si="42"/>
        <v>4246725647</v>
      </c>
      <c r="AT28" s="24">
        <f t="shared" si="43"/>
        <v>1596623382</v>
      </c>
      <c r="AU28" s="24">
        <f t="shared" si="44"/>
        <v>2148073798</v>
      </c>
      <c r="AV28" s="24">
        <f t="shared" si="45"/>
        <v>2488552518</v>
      </c>
      <c r="AW28" s="24">
        <f t="shared" si="46"/>
        <v>33595416</v>
      </c>
      <c r="AX28" s="24">
        <f t="shared" si="47"/>
        <v>671126072</v>
      </c>
      <c r="BA28" s="24">
        <f t="shared" si="48"/>
        <v>2181669214</v>
      </c>
      <c r="BB28" s="24">
        <f t="shared" si="49"/>
        <v>3159678590</v>
      </c>
      <c r="BC28" s="24">
        <f t="shared" si="50"/>
        <v>2621452</v>
      </c>
      <c r="BD28" s="24">
        <f t="shared" si="51"/>
        <v>3222315280</v>
      </c>
      <c r="BE28" s="24">
        <f t="shared" si="52"/>
        <v>1360028684</v>
      </c>
      <c r="BF28" s="24">
        <f t="shared" si="53"/>
        <v>406069760</v>
      </c>
      <c r="BG28" s="24">
        <f t="shared" si="54"/>
        <v>262156</v>
      </c>
      <c r="BH28" s="24">
        <f t="shared" si="55"/>
        <v>546383874</v>
      </c>
      <c r="BI28" s="24">
        <f t="shared" si="56"/>
        <v>12</v>
      </c>
      <c r="BJ28" s="24">
        <f t="shared" si="57"/>
        <v>1056768</v>
      </c>
      <c r="BK28" s="24">
        <f t="shared" si="58"/>
        <v>1362912268</v>
      </c>
      <c r="BL28" s="24">
        <f t="shared" si="59"/>
        <v>4172655378</v>
      </c>
      <c r="BM28" s="24">
        <f>MOD(R27+AF28+BB28+'📦 Константы SHA-512'!D26+BI222,4294967296)</f>
        <v>1646797860</v>
      </c>
      <c r="BN28" s="24">
        <f>INT((R27+AF28+BB28+'📦 Константы SHA-512'!D26+BI222)/4294967296)</f>
        <v>3</v>
      </c>
      <c r="BO28" s="24">
        <f>MOD(Q27+AE28+BA28+'📦 Константы SHA-512'!C26+BH222+BN28,4294967296)</f>
        <v>3291305882</v>
      </c>
      <c r="BP28" s="24" t="s">
        <v>320</v>
      </c>
      <c r="BQ28" s="24">
        <f t="shared" si="60"/>
        <v>1474311464</v>
      </c>
      <c r="BR28" s="24">
        <f t="shared" si="61"/>
        <v>1</v>
      </c>
      <c r="BS28" s="24">
        <f t="shared" si="62"/>
        <v>1314670620</v>
      </c>
      <c r="BU28" s="24">
        <f t="shared" si="63"/>
        <v>49253820</v>
      </c>
      <c r="BV28" s="24">
        <f t="shared" si="64"/>
        <v>601220787</v>
      </c>
      <c r="BW28" s="24">
        <f t="shared" si="65"/>
        <v>311009206</v>
      </c>
      <c r="BX28" s="24">
        <f t="shared" si="66"/>
        <v>3121109324</v>
      </c>
    </row>
    <row r="29" spans="2:76" ht="12.75" customHeight="1" x14ac:dyDescent="0.25">
      <c r="B29" s="29">
        <v>24</v>
      </c>
      <c r="C29" s="38">
        <f t="shared" si="0"/>
        <v>1545085455</v>
      </c>
      <c r="D29" s="38">
        <f t="shared" si="1"/>
        <v>2210604546</v>
      </c>
      <c r="E29" s="38">
        <f t="shared" si="2"/>
        <v>311009206</v>
      </c>
      <c r="F29" s="38">
        <f t="shared" si="3"/>
        <v>3121109324</v>
      </c>
      <c r="G29" s="38">
        <f t="shared" si="4"/>
        <v>4114148364</v>
      </c>
      <c r="H29" s="38">
        <f t="shared" si="5"/>
        <v>3711869720</v>
      </c>
      <c r="I29" s="38">
        <f t="shared" si="6"/>
        <v>36438413</v>
      </c>
      <c r="J29" s="38">
        <f t="shared" si="7"/>
        <v>3767643511</v>
      </c>
      <c r="K29" s="38">
        <f t="shared" si="8"/>
        <v>1074948304</v>
      </c>
      <c r="L29" s="38">
        <f t="shared" si="9"/>
        <v>306255727</v>
      </c>
      <c r="M29" s="38">
        <f t="shared" si="10"/>
        <v>49253820</v>
      </c>
      <c r="N29" s="38">
        <f t="shared" si="11"/>
        <v>601220787</v>
      </c>
      <c r="O29" s="38">
        <f t="shared" si="12"/>
        <v>2165265734</v>
      </c>
      <c r="P29" s="38">
        <f t="shared" si="13"/>
        <v>3596381255</v>
      </c>
      <c r="Q29" s="38">
        <f t="shared" si="14"/>
        <v>3329819598</v>
      </c>
      <c r="R29" s="38">
        <f t="shared" si="15"/>
        <v>3036073414</v>
      </c>
      <c r="S29" s="24">
        <f t="shared" si="16"/>
        <v>2597063614</v>
      </c>
      <c r="T29" s="24">
        <f t="shared" si="17"/>
        <v>921734999</v>
      </c>
      <c r="U29" s="24">
        <f t="shared" si="18"/>
        <v>2041364667</v>
      </c>
      <c r="V29" s="24">
        <f t="shared" si="19"/>
        <v>3815704821</v>
      </c>
      <c r="W29" s="24">
        <f t="shared" si="20"/>
        <v>3725716211</v>
      </c>
      <c r="X29" s="24">
        <f t="shared" si="21"/>
        <v>1501657030</v>
      </c>
      <c r="Y29" s="24">
        <f t="shared" si="22"/>
        <v>411828410</v>
      </c>
      <c r="Z29" s="24">
        <f t="shared" si="23"/>
        <v>576718933</v>
      </c>
      <c r="AA29" s="24">
        <f t="shared" si="24"/>
        <v>3814771461</v>
      </c>
      <c r="AB29" s="24">
        <f t="shared" si="25"/>
        <v>3584001954</v>
      </c>
      <c r="AC29" s="24">
        <f t="shared" si="26"/>
        <v>3254831617</v>
      </c>
      <c r="AD29" s="24">
        <f t="shared" si="27"/>
        <v>1367410562</v>
      </c>
      <c r="AE29" s="24">
        <f t="shared" si="28"/>
        <v>1030824438</v>
      </c>
      <c r="AF29" s="24">
        <f t="shared" si="29"/>
        <v>2350837860</v>
      </c>
      <c r="AG29" s="24">
        <f t="shared" si="30"/>
        <v>2693108929</v>
      </c>
      <c r="AH29" s="24">
        <f t="shared" si="31"/>
        <v>681180011</v>
      </c>
      <c r="AI29" s="24">
        <f t="shared" si="32"/>
        <v>2927760979</v>
      </c>
      <c r="AJ29" s="24">
        <f t="shared" si="33"/>
        <v>77752301</v>
      </c>
      <c r="AK29" s="24">
        <f t="shared" si="34"/>
        <v>1836322994</v>
      </c>
      <c r="AL29" s="24">
        <f t="shared" si="35"/>
        <v>2552566591</v>
      </c>
      <c r="AM29" s="24">
        <f t="shared" si="36"/>
        <v>2692748353</v>
      </c>
      <c r="AN29" s="24">
        <f t="shared" si="37"/>
        <v>8414057</v>
      </c>
      <c r="AO29" s="24">
        <f t="shared" si="38"/>
        <v>235373202</v>
      </c>
      <c r="AP29" s="24">
        <f t="shared" si="39"/>
        <v>742104198</v>
      </c>
      <c r="AQ29" s="24">
        <f t="shared" si="40"/>
        <v>201588882</v>
      </c>
      <c r="AR29" s="24">
        <f t="shared" si="41"/>
        <v>136384518</v>
      </c>
      <c r="AS29" s="24">
        <f t="shared" si="42"/>
        <v>1668518432</v>
      </c>
      <c r="AT29" s="24">
        <f t="shared" si="43"/>
        <v>3021901753</v>
      </c>
      <c r="AU29" s="24">
        <f t="shared" si="44"/>
        <v>984324</v>
      </c>
      <c r="AV29" s="24">
        <f t="shared" si="45"/>
        <v>39085059</v>
      </c>
      <c r="AW29" s="24">
        <f t="shared" si="46"/>
        <v>3289383490</v>
      </c>
      <c r="AX29" s="24">
        <f t="shared" si="47"/>
        <v>2485258564</v>
      </c>
      <c r="BA29" s="24">
        <f t="shared" si="48"/>
        <v>3290367814</v>
      </c>
      <c r="BB29" s="24">
        <f t="shared" si="49"/>
        <v>2524343623</v>
      </c>
      <c r="BC29" s="24">
        <f t="shared" si="50"/>
        <v>268995588</v>
      </c>
      <c r="BD29" s="24">
        <f t="shared" si="51"/>
        <v>2550661384</v>
      </c>
      <c r="BE29" s="24">
        <f t="shared" si="52"/>
        <v>34079108</v>
      </c>
      <c r="BF29" s="24">
        <f t="shared" si="53"/>
        <v>2684356932</v>
      </c>
      <c r="BG29" s="24">
        <f t="shared" si="54"/>
        <v>2621452</v>
      </c>
      <c r="BH29" s="24">
        <f t="shared" si="55"/>
        <v>3222315280</v>
      </c>
      <c r="BI29" s="24">
        <f t="shared" si="56"/>
        <v>524292</v>
      </c>
      <c r="BJ29" s="24">
        <f t="shared" si="57"/>
        <v>2147483904</v>
      </c>
      <c r="BK29" s="24">
        <f t="shared" si="58"/>
        <v>304647564</v>
      </c>
      <c r="BL29" s="24">
        <f t="shared" si="59"/>
        <v>4162365788</v>
      </c>
      <c r="BM29" s="24">
        <f>MOD(R28+AF29+BB29+'📦 Константы SHA-512'!D27+BI223,4294967296)</f>
        <v>3616271597</v>
      </c>
      <c r="BN29" s="24">
        <f>INT((R28+AF29+BB29+'📦 Константы SHA-512'!D27+BI223)/4294967296)</f>
        <v>2</v>
      </c>
      <c r="BO29" s="24">
        <f>MOD(Q28+AE29+BA29+'📦 Константы SHA-512'!C27+BH223+BN29,4294967296)</f>
        <v>3866886753</v>
      </c>
      <c r="BP29" s="24" t="s">
        <v>321</v>
      </c>
      <c r="BQ29" s="24">
        <f t="shared" si="60"/>
        <v>2889300245</v>
      </c>
      <c r="BR29" s="24">
        <f t="shared" si="61"/>
        <v>1</v>
      </c>
      <c r="BS29" s="24">
        <f t="shared" si="62"/>
        <v>1973165997</v>
      </c>
      <c r="BU29" s="24">
        <f t="shared" si="63"/>
        <v>1074948304</v>
      </c>
      <c r="BV29" s="24">
        <f t="shared" si="64"/>
        <v>306255727</v>
      </c>
      <c r="BW29" s="24">
        <f t="shared" si="65"/>
        <v>1545085455</v>
      </c>
      <c r="BX29" s="24">
        <f t="shared" si="66"/>
        <v>2210604546</v>
      </c>
    </row>
    <row r="30" spans="2:76" ht="12.75" customHeight="1" x14ac:dyDescent="0.25">
      <c r="B30" s="31">
        <v>25</v>
      </c>
      <c r="C30" s="40">
        <f t="shared" si="0"/>
        <v>412276413</v>
      </c>
      <c r="D30" s="40">
        <f t="shared" si="1"/>
        <v>2255499354</v>
      </c>
      <c r="E30" s="40">
        <f t="shared" si="2"/>
        <v>1545085455</v>
      </c>
      <c r="F30" s="40">
        <f t="shared" si="3"/>
        <v>2210604546</v>
      </c>
      <c r="G30" s="40">
        <f t="shared" si="4"/>
        <v>311009206</v>
      </c>
      <c r="H30" s="40">
        <f t="shared" si="5"/>
        <v>3121109324</v>
      </c>
      <c r="I30" s="40">
        <f t="shared" si="6"/>
        <v>4114148364</v>
      </c>
      <c r="J30" s="40">
        <f t="shared" si="7"/>
        <v>3711869720</v>
      </c>
      <c r="K30" s="40">
        <f t="shared" si="8"/>
        <v>48298579</v>
      </c>
      <c r="L30" s="40">
        <f t="shared" si="9"/>
        <v>2042339978</v>
      </c>
      <c r="M30" s="40">
        <f t="shared" si="10"/>
        <v>1074948304</v>
      </c>
      <c r="N30" s="40">
        <f t="shared" si="11"/>
        <v>306255727</v>
      </c>
      <c r="O30" s="40">
        <f t="shared" si="12"/>
        <v>49253820</v>
      </c>
      <c r="P30" s="40">
        <f t="shared" si="13"/>
        <v>601220787</v>
      </c>
      <c r="Q30" s="40">
        <f t="shared" si="14"/>
        <v>2165265734</v>
      </c>
      <c r="R30" s="40">
        <f t="shared" si="15"/>
        <v>3596381255</v>
      </c>
      <c r="S30" s="24">
        <f t="shared" si="16"/>
        <v>1572667465</v>
      </c>
      <c r="T30" s="24">
        <f t="shared" si="17"/>
        <v>2738899204</v>
      </c>
      <c r="U30" s="24">
        <f t="shared" si="18"/>
        <v>1172033540</v>
      </c>
      <c r="V30" s="24">
        <f t="shared" si="19"/>
        <v>2587100304</v>
      </c>
      <c r="W30" s="24">
        <f t="shared" si="20"/>
        <v>1745428619</v>
      </c>
      <c r="X30" s="24">
        <f t="shared" si="21"/>
        <v>3080718644</v>
      </c>
      <c r="Y30" s="24">
        <f t="shared" si="22"/>
        <v>1167654912</v>
      </c>
      <c r="Z30" s="24">
        <f t="shared" si="23"/>
        <v>2181038080</v>
      </c>
      <c r="AA30" s="24">
        <f t="shared" si="24"/>
        <v>409391181</v>
      </c>
      <c r="AB30" s="24">
        <f t="shared" si="25"/>
        <v>963923348</v>
      </c>
      <c r="AC30" s="24">
        <f t="shared" si="26"/>
        <v>134217737</v>
      </c>
      <c r="AD30" s="24">
        <f t="shared" si="27"/>
        <v>824183060</v>
      </c>
      <c r="AE30" s="24">
        <f t="shared" si="28"/>
        <v>1886384326</v>
      </c>
      <c r="AF30" s="24">
        <f t="shared" si="29"/>
        <v>2396275872</v>
      </c>
      <c r="AG30" s="24">
        <f t="shared" si="30"/>
        <v>1009934373</v>
      </c>
      <c r="AH30" s="24">
        <f t="shared" si="31"/>
        <v>3246530808</v>
      </c>
      <c r="AI30" s="24">
        <f t="shared" si="32"/>
        <v>3773876608</v>
      </c>
      <c r="AJ30" s="24">
        <f t="shared" si="33"/>
        <v>2533755011</v>
      </c>
      <c r="AK30" s="24">
        <f t="shared" si="34"/>
        <v>520586828</v>
      </c>
      <c r="AL30" s="24">
        <f t="shared" si="35"/>
        <v>79179844</v>
      </c>
      <c r="AM30" s="24">
        <f t="shared" si="36"/>
        <v>540033024</v>
      </c>
      <c r="AN30" s="24">
        <f t="shared" si="37"/>
        <v>2164392064</v>
      </c>
      <c r="AO30" s="24">
        <f t="shared" si="38"/>
        <v>3703744933</v>
      </c>
      <c r="AP30" s="24">
        <f t="shared" si="39"/>
        <v>1451501691</v>
      </c>
      <c r="AQ30" s="24">
        <f t="shared" si="40"/>
        <v>469925892</v>
      </c>
      <c r="AR30" s="24">
        <f t="shared" si="41"/>
        <v>75505728</v>
      </c>
      <c r="AS30" s="24">
        <f t="shared" si="42"/>
        <v>3284479977</v>
      </c>
      <c r="AT30" s="24">
        <f t="shared" si="43"/>
        <v>1379670079</v>
      </c>
      <c r="AU30" s="24">
        <f t="shared" si="44"/>
        <v>133264</v>
      </c>
      <c r="AV30" s="24">
        <f t="shared" si="45"/>
        <v>37815843</v>
      </c>
      <c r="AW30" s="24">
        <f t="shared" si="46"/>
        <v>2165118214</v>
      </c>
      <c r="AX30" s="24">
        <f t="shared" si="47"/>
        <v>3290195968</v>
      </c>
      <c r="BA30" s="24">
        <f t="shared" si="48"/>
        <v>2165251478</v>
      </c>
      <c r="BB30" s="24">
        <f t="shared" si="49"/>
        <v>3328011811</v>
      </c>
      <c r="BC30" s="24">
        <f t="shared" si="50"/>
        <v>268960262</v>
      </c>
      <c r="BD30" s="24">
        <f t="shared" si="51"/>
        <v>2181038080</v>
      </c>
      <c r="BE30" s="24">
        <f t="shared" si="52"/>
        <v>1410867212</v>
      </c>
      <c r="BF30" s="24">
        <f t="shared" si="53"/>
        <v>2164400640</v>
      </c>
      <c r="BG30" s="24">
        <f t="shared" si="54"/>
        <v>268995588</v>
      </c>
      <c r="BH30" s="24">
        <f t="shared" si="55"/>
        <v>2550661384</v>
      </c>
      <c r="BI30" s="24">
        <f t="shared" si="56"/>
        <v>268959748</v>
      </c>
      <c r="BJ30" s="24">
        <f t="shared" si="57"/>
        <v>2147483648</v>
      </c>
      <c r="BK30" s="24">
        <f t="shared" si="58"/>
        <v>1410903566</v>
      </c>
      <c r="BL30" s="24">
        <f t="shared" si="59"/>
        <v>2601132808</v>
      </c>
      <c r="BM30" s="24">
        <f>MOD(R29+AF30+BB30+'📦 Константы SHA-512'!D28+BI224,4294967296)</f>
        <v>2569663763</v>
      </c>
      <c r="BN30" s="24">
        <f>INT((R29+AF30+BB30+'📦 Константы SHA-512'!D28+BI224)/4294967296)</f>
        <v>3</v>
      </c>
      <c r="BO30" s="24">
        <f>MOD(Q29+AE30+BA30+'📦 Константы SHA-512'!C28+BH224+BN30,4294967296)</f>
        <v>11860165</v>
      </c>
      <c r="BP30" s="24" t="s">
        <v>322</v>
      </c>
      <c r="BQ30" s="24">
        <f t="shared" si="60"/>
        <v>3980802887</v>
      </c>
      <c r="BR30" s="24">
        <f t="shared" si="61"/>
        <v>0</v>
      </c>
      <c r="BS30" s="24">
        <f t="shared" si="62"/>
        <v>400416247</v>
      </c>
      <c r="BU30" s="24">
        <f t="shared" si="63"/>
        <v>48298579</v>
      </c>
      <c r="BV30" s="24">
        <f t="shared" si="64"/>
        <v>2042339978</v>
      </c>
      <c r="BW30" s="24">
        <f t="shared" si="65"/>
        <v>412276413</v>
      </c>
      <c r="BX30" s="24">
        <f t="shared" si="66"/>
        <v>2255499354</v>
      </c>
    </row>
    <row r="31" spans="2:76" ht="12.75" customHeight="1" x14ac:dyDescent="0.25">
      <c r="B31" s="33">
        <v>26</v>
      </c>
      <c r="C31" s="42">
        <f t="shared" si="0"/>
        <v>2484678809</v>
      </c>
      <c r="D31" s="42">
        <f t="shared" si="1"/>
        <v>762477212</v>
      </c>
      <c r="E31" s="42">
        <f t="shared" si="2"/>
        <v>412276413</v>
      </c>
      <c r="F31" s="42">
        <f t="shared" si="3"/>
        <v>2255499354</v>
      </c>
      <c r="G31" s="42">
        <f t="shared" si="4"/>
        <v>1545085455</v>
      </c>
      <c r="H31" s="42">
        <f t="shared" si="5"/>
        <v>2210604546</v>
      </c>
      <c r="I31" s="42">
        <f t="shared" si="6"/>
        <v>311009206</v>
      </c>
      <c r="J31" s="42">
        <f t="shared" si="7"/>
        <v>3121109324</v>
      </c>
      <c r="K31" s="42">
        <f t="shared" si="8"/>
        <v>4079328270</v>
      </c>
      <c r="L31" s="42">
        <f t="shared" si="9"/>
        <v>3442995600</v>
      </c>
      <c r="M31" s="42">
        <f t="shared" si="10"/>
        <v>48298579</v>
      </c>
      <c r="N31" s="42">
        <f t="shared" si="11"/>
        <v>2042339978</v>
      </c>
      <c r="O31" s="42">
        <f t="shared" si="12"/>
        <v>1074948304</v>
      </c>
      <c r="P31" s="42">
        <f t="shared" si="13"/>
        <v>306255727</v>
      </c>
      <c r="Q31" s="42">
        <f t="shared" si="14"/>
        <v>49253820</v>
      </c>
      <c r="R31" s="42">
        <f t="shared" si="15"/>
        <v>601220787</v>
      </c>
      <c r="S31" s="24">
        <f t="shared" si="16"/>
        <v>2317880195</v>
      </c>
      <c r="T31" s="24">
        <f t="shared" si="17"/>
        <v>3914196718</v>
      </c>
      <c r="U31" s="24">
        <f t="shared" si="18"/>
        <v>3902963896</v>
      </c>
      <c r="V31" s="24">
        <f t="shared" si="19"/>
        <v>1049943662</v>
      </c>
      <c r="W31" s="24">
        <f t="shared" si="20"/>
        <v>700243409</v>
      </c>
      <c r="X31" s="24">
        <f t="shared" si="21"/>
        <v>1157722237</v>
      </c>
      <c r="Y31" s="24">
        <f t="shared" si="22"/>
        <v>2283798656</v>
      </c>
      <c r="Z31" s="24">
        <f t="shared" si="23"/>
        <v>671401582</v>
      </c>
      <c r="AA31" s="24">
        <f t="shared" si="24"/>
        <v>1653246779</v>
      </c>
      <c r="AB31" s="24">
        <f t="shared" si="25"/>
        <v>3621337216</v>
      </c>
      <c r="AC31" s="24">
        <f t="shared" si="26"/>
        <v>545818897</v>
      </c>
      <c r="AD31" s="24">
        <f t="shared" si="27"/>
        <v>1157705728</v>
      </c>
      <c r="AE31" s="24">
        <f t="shared" si="28"/>
        <v>1261852394</v>
      </c>
      <c r="AF31" s="24">
        <f t="shared" si="29"/>
        <v>2463647997</v>
      </c>
      <c r="AG31" s="24">
        <f t="shared" si="30"/>
        <v>1728251297</v>
      </c>
      <c r="AH31" s="24">
        <f t="shared" si="31"/>
        <v>2301455320</v>
      </c>
      <c r="AI31" s="24">
        <f t="shared" si="32"/>
        <v>1637616662</v>
      </c>
      <c r="AJ31" s="24">
        <f t="shared" si="33"/>
        <v>2250552751</v>
      </c>
      <c r="AK31" s="24">
        <f t="shared" si="34"/>
        <v>2064441440</v>
      </c>
      <c r="AL31" s="24">
        <f t="shared" si="35"/>
        <v>3023119789</v>
      </c>
      <c r="AM31" s="24">
        <f t="shared" si="36"/>
        <v>1627390976</v>
      </c>
      <c r="AN31" s="24">
        <f t="shared" si="37"/>
        <v>2149851528</v>
      </c>
      <c r="AO31" s="24">
        <f t="shared" si="38"/>
        <v>111086007</v>
      </c>
      <c r="AP31" s="24">
        <f t="shared" si="39"/>
        <v>252305015</v>
      </c>
      <c r="AQ31" s="24">
        <f t="shared" si="40"/>
        <v>34340896</v>
      </c>
      <c r="AR31" s="24">
        <f t="shared" si="41"/>
        <v>67175461</v>
      </c>
      <c r="AS31" s="24">
        <f t="shared" si="42"/>
        <v>2106845655</v>
      </c>
      <c r="AT31" s="24">
        <f t="shared" si="43"/>
        <v>3141073882</v>
      </c>
      <c r="AU31" s="24">
        <f t="shared" si="44"/>
        <v>26704</v>
      </c>
      <c r="AV31" s="24">
        <f t="shared" si="45"/>
        <v>268501514</v>
      </c>
      <c r="AW31" s="24">
        <f t="shared" si="46"/>
        <v>984492</v>
      </c>
      <c r="AX31" s="24">
        <f t="shared" si="47"/>
        <v>38028337</v>
      </c>
      <c r="BA31" s="24">
        <f t="shared" si="48"/>
        <v>1011196</v>
      </c>
      <c r="BB31" s="24">
        <f t="shared" si="49"/>
        <v>306529851</v>
      </c>
      <c r="BC31" s="24">
        <f t="shared" si="50"/>
        <v>403702285</v>
      </c>
      <c r="BD31" s="24">
        <f t="shared" si="51"/>
        <v>2185240578</v>
      </c>
      <c r="BE31" s="24">
        <f t="shared" si="52"/>
        <v>276862644</v>
      </c>
      <c r="BF31" s="24">
        <f t="shared" si="53"/>
        <v>2181042248</v>
      </c>
      <c r="BG31" s="24">
        <f t="shared" si="54"/>
        <v>268960262</v>
      </c>
      <c r="BH31" s="24">
        <f t="shared" si="55"/>
        <v>2181038080</v>
      </c>
      <c r="BI31" s="24">
        <f t="shared" si="56"/>
        <v>268435972</v>
      </c>
      <c r="BJ31" s="24">
        <f t="shared" si="57"/>
        <v>2181038080</v>
      </c>
      <c r="BK31" s="24">
        <f t="shared" si="58"/>
        <v>412653247</v>
      </c>
      <c r="BL31" s="24">
        <f t="shared" si="59"/>
        <v>2185244746</v>
      </c>
      <c r="BM31" s="24">
        <f>MOD(R30+AF31+BB31+'📦 Константы SHA-512'!D29+BI225,4294967296)</f>
        <v>4026093176</v>
      </c>
      <c r="BN31" s="24">
        <f>INT((R30+AF31+BB31+'📦 Константы SHA-512'!D29+BI225)/4294967296)</f>
        <v>1</v>
      </c>
      <c r="BO31" s="24">
        <f>MOD(Q30+AE31+BA31+'📦 Константы SHA-512'!C29+BH225+BN31,4294967296)</f>
        <v>4260147201</v>
      </c>
      <c r="BP31" s="24" t="s">
        <v>323</v>
      </c>
      <c r="BQ31" s="24">
        <f t="shared" si="60"/>
        <v>1031351332</v>
      </c>
      <c r="BR31" s="24">
        <f t="shared" si="61"/>
        <v>1</v>
      </c>
      <c r="BS31" s="24">
        <f t="shared" si="62"/>
        <v>2519498903</v>
      </c>
      <c r="BU31" s="24">
        <f t="shared" si="63"/>
        <v>4079328270</v>
      </c>
      <c r="BV31" s="24">
        <f t="shared" si="64"/>
        <v>3442995600</v>
      </c>
      <c r="BW31" s="24">
        <f t="shared" si="65"/>
        <v>2484678809</v>
      </c>
      <c r="BX31" s="24">
        <f t="shared" si="66"/>
        <v>762477212</v>
      </c>
    </row>
    <row r="32" spans="2:76" ht="12.75" customHeight="1" x14ac:dyDescent="0.25">
      <c r="B32" s="35">
        <v>27</v>
      </c>
      <c r="C32" s="44">
        <f t="shared" si="0"/>
        <v>2421152424</v>
      </c>
      <c r="D32" s="44">
        <f t="shared" si="1"/>
        <v>1236504814</v>
      </c>
      <c r="E32" s="44">
        <f t="shared" si="2"/>
        <v>2484678809</v>
      </c>
      <c r="F32" s="44">
        <f t="shared" si="3"/>
        <v>762477212</v>
      </c>
      <c r="G32" s="44">
        <f t="shared" si="4"/>
        <v>412276413</v>
      </c>
      <c r="H32" s="44">
        <f t="shared" si="5"/>
        <v>2255499354</v>
      </c>
      <c r="I32" s="44">
        <f t="shared" si="6"/>
        <v>1545085455</v>
      </c>
      <c r="J32" s="44">
        <f t="shared" si="7"/>
        <v>2210604546</v>
      </c>
      <c r="K32" s="44">
        <f t="shared" si="8"/>
        <v>3634328614</v>
      </c>
      <c r="L32" s="44">
        <f t="shared" si="9"/>
        <v>512507979</v>
      </c>
      <c r="M32" s="44">
        <f t="shared" si="10"/>
        <v>4079328270</v>
      </c>
      <c r="N32" s="44">
        <f t="shared" si="11"/>
        <v>3442995600</v>
      </c>
      <c r="O32" s="44">
        <f t="shared" si="12"/>
        <v>48298579</v>
      </c>
      <c r="P32" s="44">
        <f t="shared" si="13"/>
        <v>2042339978</v>
      </c>
      <c r="Q32" s="44">
        <f t="shared" si="14"/>
        <v>1074948304</v>
      </c>
      <c r="R32" s="44">
        <f t="shared" si="15"/>
        <v>306255727</v>
      </c>
      <c r="S32" s="24">
        <f t="shared" si="16"/>
        <v>3326332054</v>
      </c>
      <c r="T32" s="24">
        <f t="shared" si="17"/>
        <v>1882928351</v>
      </c>
      <c r="U32" s="24">
        <f t="shared" si="18"/>
        <v>4234427593</v>
      </c>
      <c r="V32" s="24">
        <f t="shared" si="19"/>
        <v>1728295757</v>
      </c>
      <c r="W32" s="24">
        <f t="shared" si="20"/>
        <v>124165112</v>
      </c>
      <c r="X32" s="24">
        <f t="shared" si="21"/>
        <v>3363410638</v>
      </c>
      <c r="Y32" s="24">
        <f t="shared" si="22"/>
        <v>3292531840</v>
      </c>
      <c r="Z32" s="24">
        <f t="shared" si="23"/>
        <v>1610821709</v>
      </c>
      <c r="AA32" s="24">
        <f t="shared" si="24"/>
        <v>975695967</v>
      </c>
      <c r="AB32" s="24">
        <f t="shared" si="25"/>
        <v>389580690</v>
      </c>
      <c r="AC32" s="24">
        <f t="shared" si="26"/>
        <v>36081752</v>
      </c>
      <c r="AD32" s="24">
        <f t="shared" si="27"/>
        <v>3703426</v>
      </c>
      <c r="AE32" s="24">
        <f t="shared" si="28"/>
        <v>1027697575</v>
      </c>
      <c r="AF32" s="24">
        <f t="shared" si="29"/>
        <v>3745584476</v>
      </c>
      <c r="AG32" s="24">
        <f t="shared" si="30"/>
        <v>3609700809</v>
      </c>
      <c r="AH32" s="24">
        <f t="shared" si="31"/>
        <v>1100155282</v>
      </c>
      <c r="AI32" s="24">
        <f t="shared" si="32"/>
        <v>1264361127</v>
      </c>
      <c r="AJ32" s="24">
        <f t="shared" si="33"/>
        <v>621169702</v>
      </c>
      <c r="AK32" s="24">
        <f t="shared" si="34"/>
        <v>844817653</v>
      </c>
      <c r="AL32" s="24">
        <f t="shared" si="35"/>
        <v>958935649</v>
      </c>
      <c r="AM32" s="24">
        <f t="shared" si="36"/>
        <v>1124370561</v>
      </c>
      <c r="AN32" s="24">
        <f t="shared" si="37"/>
        <v>16910338</v>
      </c>
      <c r="AO32" s="24">
        <f t="shared" si="38"/>
        <v>2625320814</v>
      </c>
      <c r="AP32" s="24">
        <f t="shared" si="39"/>
        <v>1687504308</v>
      </c>
      <c r="AQ32" s="24">
        <f t="shared" si="40"/>
        <v>274343012</v>
      </c>
      <c r="AR32" s="24">
        <f t="shared" si="41"/>
        <v>536870944</v>
      </c>
      <c r="AS32" s="24">
        <f t="shared" si="42"/>
        <v>2921452443</v>
      </c>
      <c r="AT32" s="24">
        <f t="shared" si="43"/>
        <v>1572698069</v>
      </c>
      <c r="AU32" s="24">
        <f t="shared" si="44"/>
        <v>35690498</v>
      </c>
      <c r="AV32" s="24">
        <f t="shared" si="45"/>
        <v>1228120192</v>
      </c>
      <c r="AW32" s="24">
        <f t="shared" si="46"/>
        <v>1204432</v>
      </c>
      <c r="AX32" s="24">
        <f t="shared" si="47"/>
        <v>306185839</v>
      </c>
      <c r="BA32" s="24">
        <f t="shared" si="48"/>
        <v>36894930</v>
      </c>
      <c r="BB32" s="24">
        <f t="shared" si="49"/>
        <v>1534306031</v>
      </c>
      <c r="BC32" s="24">
        <f t="shared" si="50"/>
        <v>269488281</v>
      </c>
      <c r="BD32" s="24">
        <f t="shared" si="51"/>
        <v>74461208</v>
      </c>
      <c r="BE32" s="24">
        <f t="shared" si="52"/>
        <v>337125385</v>
      </c>
      <c r="BF32" s="24">
        <f t="shared" si="53"/>
        <v>21111296</v>
      </c>
      <c r="BG32" s="24">
        <f t="shared" si="54"/>
        <v>403702285</v>
      </c>
      <c r="BH32" s="24">
        <f t="shared" si="55"/>
        <v>2185240578</v>
      </c>
      <c r="BI32" s="24">
        <f t="shared" si="56"/>
        <v>269484041</v>
      </c>
      <c r="BJ32" s="24">
        <f t="shared" si="57"/>
        <v>4202496</v>
      </c>
      <c r="BK32" s="24">
        <f t="shared" si="58"/>
        <v>471347869</v>
      </c>
      <c r="BL32" s="24">
        <f t="shared" si="59"/>
        <v>2272408090</v>
      </c>
      <c r="BM32" s="24">
        <f>MOD(R31+AF32+BB32+'📦 Константы SHA-512'!D30+BI226,4294967296)</f>
        <v>1686365951</v>
      </c>
      <c r="BN32" s="24">
        <f>INT((R31+AF32+BB32+'📦 Константы SHA-512'!D30+BI226)/4294967296)</f>
        <v>2</v>
      </c>
      <c r="BO32" s="24">
        <f>MOD(Q31+AE32+BA32+'📦 Константы SHA-512'!C30+BH226+BN32,4294967296)</f>
        <v>3323319407</v>
      </c>
      <c r="BP32" s="24" t="s">
        <v>324</v>
      </c>
      <c r="BQ32" s="24">
        <f t="shared" si="60"/>
        <v>3845106159</v>
      </c>
      <c r="BR32" s="24">
        <f t="shared" si="61"/>
        <v>0</v>
      </c>
      <c r="BS32" s="24">
        <f t="shared" si="62"/>
        <v>3392800312</v>
      </c>
      <c r="BU32" s="24">
        <f t="shared" si="63"/>
        <v>3634328614</v>
      </c>
      <c r="BV32" s="24">
        <f t="shared" si="64"/>
        <v>512507979</v>
      </c>
      <c r="BW32" s="24">
        <f t="shared" si="65"/>
        <v>2421152424</v>
      </c>
      <c r="BX32" s="24">
        <f t="shared" si="66"/>
        <v>1236504814</v>
      </c>
    </row>
    <row r="33" spans="2:76" ht="12.75" customHeight="1" x14ac:dyDescent="0.25">
      <c r="B33" s="37">
        <v>28</v>
      </c>
      <c r="C33" s="45">
        <f t="shared" si="0"/>
        <v>3487642766</v>
      </c>
      <c r="D33" s="45">
        <f t="shared" si="1"/>
        <v>742187061</v>
      </c>
      <c r="E33" s="45">
        <f t="shared" si="2"/>
        <v>2421152424</v>
      </c>
      <c r="F33" s="45">
        <f t="shared" si="3"/>
        <v>1236504814</v>
      </c>
      <c r="G33" s="45">
        <f t="shared" si="4"/>
        <v>2484678809</v>
      </c>
      <c r="H33" s="45">
        <f t="shared" si="5"/>
        <v>762477212</v>
      </c>
      <c r="I33" s="45">
        <f t="shared" si="6"/>
        <v>412276413</v>
      </c>
      <c r="J33" s="45">
        <f t="shared" si="7"/>
        <v>2255499354</v>
      </c>
      <c r="K33" s="45">
        <f t="shared" si="8"/>
        <v>3256284657</v>
      </c>
      <c r="L33" s="45">
        <f t="shared" si="9"/>
        <v>616501694</v>
      </c>
      <c r="M33" s="45">
        <f t="shared" si="10"/>
        <v>3634328614</v>
      </c>
      <c r="N33" s="45">
        <f t="shared" si="11"/>
        <v>512507979</v>
      </c>
      <c r="O33" s="45">
        <f t="shared" si="12"/>
        <v>4079328270</v>
      </c>
      <c r="P33" s="45">
        <f t="shared" si="13"/>
        <v>3442995600</v>
      </c>
      <c r="Q33" s="45">
        <f t="shared" si="14"/>
        <v>48298579</v>
      </c>
      <c r="R33" s="45">
        <f t="shared" si="15"/>
        <v>2042339978</v>
      </c>
      <c r="S33" s="24">
        <f t="shared" si="16"/>
        <v>19882621</v>
      </c>
      <c r="T33" s="24">
        <f t="shared" si="17"/>
        <v>3499653681</v>
      </c>
      <c r="U33" s="24">
        <f t="shared" si="18"/>
        <v>269678119</v>
      </c>
      <c r="V33" s="24">
        <f t="shared" si="19"/>
        <v>3708389283</v>
      </c>
      <c r="W33" s="24">
        <f t="shared" si="20"/>
        <v>319768096</v>
      </c>
      <c r="X33" s="24">
        <f t="shared" si="21"/>
        <v>636243898</v>
      </c>
      <c r="Y33" s="24">
        <f t="shared" si="22"/>
        <v>156197</v>
      </c>
      <c r="Z33" s="24">
        <f t="shared" si="23"/>
        <v>3490185761</v>
      </c>
      <c r="AA33" s="24">
        <f t="shared" si="24"/>
        <v>289248346</v>
      </c>
      <c r="AB33" s="24">
        <f t="shared" si="25"/>
        <v>227671442</v>
      </c>
      <c r="AC33" s="24">
        <f t="shared" si="26"/>
        <v>286065664</v>
      </c>
      <c r="AD33" s="24">
        <f t="shared" si="27"/>
        <v>92294546</v>
      </c>
      <c r="AE33" s="24">
        <f t="shared" si="28"/>
        <v>36885114</v>
      </c>
      <c r="AF33" s="24">
        <f t="shared" si="29"/>
        <v>679326248</v>
      </c>
      <c r="AG33" s="24">
        <f t="shared" si="30"/>
        <v>2604207849</v>
      </c>
      <c r="AH33" s="24">
        <f t="shared" si="31"/>
        <v>83733124</v>
      </c>
      <c r="AI33" s="24">
        <f t="shared" si="32"/>
        <v>309126203</v>
      </c>
      <c r="AJ33" s="24">
        <f t="shared" si="33"/>
        <v>2752771754</v>
      </c>
      <c r="AK33" s="24">
        <f t="shared" si="34"/>
        <v>1351837473</v>
      </c>
      <c r="AL33" s="24">
        <f t="shared" si="35"/>
        <v>3709902773</v>
      </c>
      <c r="AM33" s="24">
        <f t="shared" si="36"/>
        <v>304612393</v>
      </c>
      <c r="AN33" s="24">
        <f t="shared" si="37"/>
        <v>68264576</v>
      </c>
      <c r="AO33" s="24">
        <f t="shared" si="38"/>
        <v>2304109266</v>
      </c>
      <c r="AP33" s="24">
        <f t="shared" si="39"/>
        <v>2699975726</v>
      </c>
      <c r="AQ33" s="24">
        <f t="shared" si="40"/>
        <v>1139200</v>
      </c>
      <c r="AR33" s="24">
        <f t="shared" si="41"/>
        <v>2149588004</v>
      </c>
      <c r="AS33" s="24">
        <f t="shared" si="42"/>
        <v>3653668339</v>
      </c>
      <c r="AT33" s="24">
        <f t="shared" si="43"/>
        <v>2110702491</v>
      </c>
      <c r="AU33" s="24">
        <f t="shared" si="44"/>
        <v>3489993734</v>
      </c>
      <c r="AV33" s="24">
        <f t="shared" si="45"/>
        <v>201605120</v>
      </c>
      <c r="AW33" s="24">
        <f t="shared" si="46"/>
        <v>39881297</v>
      </c>
      <c r="AX33" s="24">
        <f t="shared" si="47"/>
        <v>1630773888</v>
      </c>
      <c r="BA33" s="24">
        <f t="shared" si="48"/>
        <v>3529875031</v>
      </c>
      <c r="BB33" s="24">
        <f t="shared" si="49"/>
        <v>1832379008</v>
      </c>
      <c r="BC33" s="24">
        <f t="shared" si="50"/>
        <v>2416513160</v>
      </c>
      <c r="BD33" s="24">
        <f t="shared" si="51"/>
        <v>154275980</v>
      </c>
      <c r="BE33" s="24">
        <f t="shared" si="52"/>
        <v>268620456</v>
      </c>
      <c r="BF33" s="24">
        <f t="shared" si="53"/>
        <v>3149898</v>
      </c>
      <c r="BG33" s="24">
        <f t="shared" si="54"/>
        <v>269488281</v>
      </c>
      <c r="BH33" s="24">
        <f t="shared" si="55"/>
        <v>74461208</v>
      </c>
      <c r="BI33" s="24">
        <f t="shared" si="56"/>
        <v>268439688</v>
      </c>
      <c r="BJ33" s="24">
        <f t="shared" si="57"/>
        <v>3149832</v>
      </c>
      <c r="BK33" s="24">
        <f t="shared" si="58"/>
        <v>2417742521</v>
      </c>
      <c r="BL33" s="24">
        <f t="shared" si="59"/>
        <v>225587422</v>
      </c>
      <c r="BM33" s="24">
        <f>MOD(R32+AF33+BB33+'📦 Константы SHA-512'!D31+BI227,4294967296)</f>
        <v>2700864444</v>
      </c>
      <c r="BN33" s="24">
        <f>INT((R32+AF33+BB33+'📦 Константы SHA-512'!D31+BI227)/4294967296)</f>
        <v>1</v>
      </c>
      <c r="BO33" s="24">
        <f>MOD(Q32+AE33+BA33+'📦 Константы SHA-512'!C31+BH227+BN33,4294967296)</f>
        <v>1711199201</v>
      </c>
      <c r="BP33" s="24" t="s">
        <v>325</v>
      </c>
      <c r="BQ33" s="24">
        <f t="shared" si="60"/>
        <v>2336289913</v>
      </c>
      <c r="BR33" s="24">
        <f t="shared" si="61"/>
        <v>0</v>
      </c>
      <c r="BS33" s="24">
        <f t="shared" si="62"/>
        <v>1776443564</v>
      </c>
      <c r="BU33" s="24">
        <f t="shared" si="63"/>
        <v>3256284657</v>
      </c>
      <c r="BV33" s="24">
        <f t="shared" si="64"/>
        <v>616501694</v>
      </c>
      <c r="BW33" s="24">
        <f t="shared" si="65"/>
        <v>3487642766</v>
      </c>
      <c r="BX33" s="24">
        <f t="shared" si="66"/>
        <v>742187061</v>
      </c>
    </row>
    <row r="34" spans="2:76" ht="12.75" customHeight="1" x14ac:dyDescent="0.25">
      <c r="B34" s="39">
        <v>29</v>
      </c>
      <c r="C34" s="47">
        <f t="shared" si="0"/>
        <v>2038763610</v>
      </c>
      <c r="D34" s="47">
        <f t="shared" si="1"/>
        <v>3212821093</v>
      </c>
      <c r="E34" s="47">
        <f t="shared" si="2"/>
        <v>3487642766</v>
      </c>
      <c r="F34" s="47">
        <f t="shared" si="3"/>
        <v>742187061</v>
      </c>
      <c r="G34" s="47">
        <f t="shared" si="4"/>
        <v>2421152424</v>
      </c>
      <c r="H34" s="47">
        <f t="shared" si="5"/>
        <v>1236504814</v>
      </c>
      <c r="I34" s="47">
        <f t="shared" si="6"/>
        <v>2484678809</v>
      </c>
      <c r="J34" s="47">
        <f t="shared" si="7"/>
        <v>762477212</v>
      </c>
      <c r="K34" s="47">
        <f t="shared" si="8"/>
        <v>2838852606</v>
      </c>
      <c r="L34" s="47">
        <f t="shared" si="9"/>
        <v>843594331</v>
      </c>
      <c r="M34" s="47">
        <f t="shared" si="10"/>
        <v>3256284657</v>
      </c>
      <c r="N34" s="47">
        <f t="shared" si="11"/>
        <v>616501694</v>
      </c>
      <c r="O34" s="47">
        <f t="shared" si="12"/>
        <v>3634328614</v>
      </c>
      <c r="P34" s="47">
        <f t="shared" si="13"/>
        <v>512507979</v>
      </c>
      <c r="Q34" s="47">
        <f t="shared" si="14"/>
        <v>4079328270</v>
      </c>
      <c r="R34" s="47">
        <f t="shared" si="15"/>
        <v>3442995600</v>
      </c>
      <c r="S34" s="24">
        <f t="shared" si="16"/>
        <v>1190856795</v>
      </c>
      <c r="T34" s="24">
        <f t="shared" si="17"/>
        <v>3619984124</v>
      </c>
      <c r="U34" s="24">
        <f t="shared" si="18"/>
        <v>3295654021</v>
      </c>
      <c r="V34" s="24">
        <f t="shared" si="19"/>
        <v>3179039023</v>
      </c>
      <c r="W34" s="24">
        <f t="shared" si="20"/>
        <v>4170342280</v>
      </c>
      <c r="X34" s="24">
        <f t="shared" si="21"/>
        <v>3747679098</v>
      </c>
      <c r="Y34" s="24">
        <f t="shared" si="22"/>
        <v>1147863041</v>
      </c>
      <c r="Z34" s="24">
        <f t="shared" si="23"/>
        <v>2504261676</v>
      </c>
      <c r="AA34" s="24">
        <f t="shared" si="24"/>
        <v>2190784734</v>
      </c>
      <c r="AB34" s="24">
        <f t="shared" si="25"/>
        <v>1790499795</v>
      </c>
      <c r="AC34" s="24">
        <f t="shared" si="26"/>
        <v>2156927112</v>
      </c>
      <c r="AD34" s="24">
        <f t="shared" si="27"/>
        <v>1243614034</v>
      </c>
      <c r="AE34" s="24">
        <f t="shared" si="28"/>
        <v>2047272790</v>
      </c>
      <c r="AF34" s="24">
        <f t="shared" si="29"/>
        <v>3050950825</v>
      </c>
      <c r="AG34" s="24">
        <f t="shared" si="30"/>
        <v>3285058396</v>
      </c>
      <c r="AH34" s="24">
        <f t="shared" si="31"/>
        <v>4262676706</v>
      </c>
      <c r="AI34" s="24">
        <f t="shared" si="32"/>
        <v>2333030413</v>
      </c>
      <c r="AJ34" s="24">
        <f t="shared" si="33"/>
        <v>1945652515</v>
      </c>
      <c r="AK34" s="24">
        <f t="shared" si="34"/>
        <v>475560384</v>
      </c>
      <c r="AL34" s="24">
        <f t="shared" si="35"/>
        <v>1805632105</v>
      </c>
      <c r="AM34" s="24">
        <f t="shared" si="36"/>
        <v>2198732812</v>
      </c>
      <c r="AN34" s="24">
        <f t="shared" si="37"/>
        <v>1913669666</v>
      </c>
      <c r="AO34" s="24">
        <f t="shared" si="38"/>
        <v>1220623185</v>
      </c>
      <c r="AP34" s="24">
        <f t="shared" si="39"/>
        <v>2380989889</v>
      </c>
      <c r="AQ34" s="24">
        <f t="shared" si="40"/>
        <v>138426688</v>
      </c>
      <c r="AR34" s="24">
        <f t="shared" si="41"/>
        <v>160104513</v>
      </c>
      <c r="AS34" s="24">
        <f t="shared" si="42"/>
        <v>1419330193</v>
      </c>
      <c r="AT34" s="24">
        <f t="shared" si="43"/>
        <v>3866412968</v>
      </c>
      <c r="AU34" s="24">
        <f t="shared" si="44"/>
        <v>3222696992</v>
      </c>
      <c r="AV34" s="24">
        <f t="shared" si="45"/>
        <v>76283914</v>
      </c>
      <c r="AW34" s="24">
        <f t="shared" si="46"/>
        <v>824248334</v>
      </c>
      <c r="AX34" s="24">
        <f t="shared" si="47"/>
        <v>3372277760</v>
      </c>
      <c r="BA34" s="24">
        <f t="shared" si="48"/>
        <v>4046945326</v>
      </c>
      <c r="BB34" s="24">
        <f t="shared" si="49"/>
        <v>3448561674</v>
      </c>
      <c r="BC34" s="24">
        <f t="shared" si="50"/>
        <v>2151747720</v>
      </c>
      <c r="BD34" s="24">
        <f t="shared" si="51"/>
        <v>137396260</v>
      </c>
      <c r="BE34" s="24">
        <f t="shared" si="52"/>
        <v>2214670472</v>
      </c>
      <c r="BF34" s="24">
        <f t="shared" si="53"/>
        <v>741367828</v>
      </c>
      <c r="BG34" s="24">
        <f t="shared" si="54"/>
        <v>2416513160</v>
      </c>
      <c r="BH34" s="24">
        <f t="shared" si="55"/>
        <v>154275980</v>
      </c>
      <c r="BI34" s="24">
        <f t="shared" si="56"/>
        <v>2147553416</v>
      </c>
      <c r="BJ34" s="24">
        <f t="shared" si="57"/>
        <v>137363460</v>
      </c>
      <c r="BK34" s="24">
        <f t="shared" si="58"/>
        <v>2487824520</v>
      </c>
      <c r="BL34" s="24">
        <f t="shared" si="59"/>
        <v>758313148</v>
      </c>
      <c r="BM34" s="24">
        <f>MOD(R33+AF34+BB34+'📦 Константы SHA-512'!D32+BI228,4294967296)</f>
        <v>2883062273</v>
      </c>
      <c r="BN34" s="24">
        <f>INT((R33+AF34+BB34+'📦 Константы SHA-512'!D32+BI228)/4294967296)</f>
        <v>2</v>
      </c>
      <c r="BO34" s="24">
        <f>MOD(Q33+AE34+BA34+'📦 Константы SHA-512'!C32+BH228+BN34,4294967296)</f>
        <v>2426576192</v>
      </c>
      <c r="BP34" s="24" t="s">
        <v>326</v>
      </c>
      <c r="BQ34" s="24">
        <f t="shared" si="60"/>
        <v>329758820</v>
      </c>
      <c r="BR34" s="24">
        <f t="shared" si="61"/>
        <v>1</v>
      </c>
      <c r="BS34" s="24">
        <f t="shared" si="62"/>
        <v>3907154714</v>
      </c>
      <c r="BU34" s="24">
        <f t="shared" si="63"/>
        <v>2838852606</v>
      </c>
      <c r="BV34" s="24">
        <f t="shared" si="64"/>
        <v>843594331</v>
      </c>
      <c r="BW34" s="24">
        <f t="shared" si="65"/>
        <v>2038763610</v>
      </c>
      <c r="BX34" s="24">
        <f t="shared" si="66"/>
        <v>3212821093</v>
      </c>
    </row>
    <row r="35" spans="2:76" ht="12.75" customHeight="1" x14ac:dyDescent="0.25">
      <c r="B35" s="41">
        <v>30</v>
      </c>
      <c r="C35" s="49">
        <f t="shared" si="0"/>
        <v>2419415096</v>
      </c>
      <c r="D35" s="49">
        <f t="shared" si="1"/>
        <v>2160853394</v>
      </c>
      <c r="E35" s="49">
        <f t="shared" si="2"/>
        <v>2038763610</v>
      </c>
      <c r="F35" s="49">
        <f t="shared" si="3"/>
        <v>3212821093</v>
      </c>
      <c r="G35" s="49">
        <f t="shared" si="4"/>
        <v>3487642766</v>
      </c>
      <c r="H35" s="49">
        <f t="shared" si="5"/>
        <v>742187061</v>
      </c>
      <c r="I35" s="49">
        <f t="shared" si="6"/>
        <v>2421152424</v>
      </c>
      <c r="J35" s="49">
        <f t="shared" si="7"/>
        <v>1236504814</v>
      </c>
      <c r="K35" s="49">
        <f t="shared" si="8"/>
        <v>1563184893</v>
      </c>
      <c r="L35" s="49">
        <f t="shared" si="9"/>
        <v>1950052396</v>
      </c>
      <c r="M35" s="49">
        <f t="shared" si="10"/>
        <v>2838852606</v>
      </c>
      <c r="N35" s="49">
        <f t="shared" si="11"/>
        <v>843594331</v>
      </c>
      <c r="O35" s="49">
        <f t="shared" si="12"/>
        <v>3256284657</v>
      </c>
      <c r="P35" s="49">
        <f t="shared" si="13"/>
        <v>616501694</v>
      </c>
      <c r="Q35" s="49">
        <f t="shared" si="14"/>
        <v>3634328614</v>
      </c>
      <c r="R35" s="49">
        <f t="shared" si="15"/>
        <v>512507979</v>
      </c>
      <c r="S35" s="24">
        <f t="shared" si="16"/>
        <v>3916342485</v>
      </c>
      <c r="T35" s="24">
        <f t="shared" si="17"/>
        <v>3489188128</v>
      </c>
      <c r="U35" s="24">
        <f t="shared" si="18"/>
        <v>244771405</v>
      </c>
      <c r="V35" s="24">
        <f t="shared" si="19"/>
        <v>1560251538</v>
      </c>
      <c r="W35" s="24">
        <f t="shared" si="20"/>
        <v>4279837725</v>
      </c>
      <c r="X35" s="24">
        <f t="shared" si="21"/>
        <v>768907961</v>
      </c>
      <c r="Y35" s="24">
        <f t="shared" si="22"/>
        <v>134651973</v>
      </c>
      <c r="Z35" s="24">
        <f t="shared" si="23"/>
        <v>1291356160</v>
      </c>
      <c r="AA35" s="24">
        <f t="shared" si="24"/>
        <v>3891809944</v>
      </c>
      <c r="AB35" s="24">
        <f t="shared" si="25"/>
        <v>2466727346</v>
      </c>
      <c r="AC35" s="24">
        <f t="shared" si="26"/>
        <v>3877110808</v>
      </c>
      <c r="AD35" s="24">
        <f t="shared" si="27"/>
        <v>17039536</v>
      </c>
      <c r="AE35" s="24">
        <f t="shared" si="28"/>
        <v>417426053</v>
      </c>
      <c r="AF35" s="24">
        <f t="shared" si="29"/>
        <v>3201556235</v>
      </c>
      <c r="AG35" s="24">
        <f t="shared" si="30"/>
        <v>4160497239</v>
      </c>
      <c r="AH35" s="24">
        <f t="shared" si="31"/>
        <v>2555446699</v>
      </c>
      <c r="AI35" s="24">
        <f t="shared" si="32"/>
        <v>2950688921</v>
      </c>
      <c r="AJ35" s="24">
        <f t="shared" si="33"/>
        <v>1583432726</v>
      </c>
      <c r="AK35" s="24">
        <f t="shared" si="34"/>
        <v>3044999044</v>
      </c>
      <c r="AL35" s="24">
        <f t="shared" si="35"/>
        <v>3404925472</v>
      </c>
      <c r="AM35" s="24">
        <f t="shared" si="36"/>
        <v>2816221201</v>
      </c>
      <c r="AN35" s="24">
        <f t="shared" si="37"/>
        <v>406914050</v>
      </c>
      <c r="AO35" s="24">
        <f t="shared" si="38"/>
        <v>1478743758</v>
      </c>
      <c r="AP35" s="24">
        <f t="shared" si="39"/>
        <v>3325051325</v>
      </c>
      <c r="AQ35" s="24">
        <f t="shared" si="40"/>
        <v>270718596</v>
      </c>
      <c r="AR35" s="24">
        <f t="shared" si="41"/>
        <v>3257925664</v>
      </c>
      <c r="AS35" s="24">
        <f t="shared" si="42"/>
        <v>3982305610</v>
      </c>
      <c r="AT35" s="24">
        <f t="shared" si="43"/>
        <v>214125469</v>
      </c>
      <c r="AU35" s="24">
        <f t="shared" si="44"/>
        <v>2148823536</v>
      </c>
      <c r="AV35" s="24">
        <f t="shared" si="45"/>
        <v>537399322</v>
      </c>
      <c r="AW35" s="24">
        <f t="shared" si="46"/>
        <v>1351222272</v>
      </c>
      <c r="AX35" s="24">
        <f t="shared" si="47"/>
        <v>209993728</v>
      </c>
      <c r="BA35" s="24">
        <f t="shared" si="48"/>
        <v>3500045808</v>
      </c>
      <c r="BB35" s="24">
        <f t="shared" si="49"/>
        <v>747393050</v>
      </c>
      <c r="BC35" s="24">
        <f t="shared" si="50"/>
        <v>1233195018</v>
      </c>
      <c r="BD35" s="24">
        <f t="shared" si="51"/>
        <v>742178853</v>
      </c>
      <c r="BE35" s="24">
        <f t="shared" si="52"/>
        <v>268767240</v>
      </c>
      <c r="BF35" s="24">
        <f t="shared" si="53"/>
        <v>154370148</v>
      </c>
      <c r="BG35" s="24">
        <f t="shared" si="54"/>
        <v>2151747720</v>
      </c>
      <c r="BH35" s="24">
        <f t="shared" si="55"/>
        <v>137396260</v>
      </c>
      <c r="BI35" s="24">
        <f t="shared" si="56"/>
        <v>69640</v>
      </c>
      <c r="BJ35" s="24">
        <f t="shared" si="57"/>
        <v>137396260</v>
      </c>
      <c r="BK35" s="24">
        <f t="shared" si="58"/>
        <v>3653570698</v>
      </c>
      <c r="BL35" s="24">
        <f t="shared" si="59"/>
        <v>759152741</v>
      </c>
      <c r="BM35" s="24">
        <f>MOD(R34+AF35+BB35+'📦 Константы SHA-512'!D33+BI229,4294967296)</f>
        <v>1187575184</v>
      </c>
      <c r="BN35" s="24">
        <f>INT((R34+AF35+BB35+'📦 Константы SHA-512'!D33+BI229)/4294967296)</f>
        <v>3</v>
      </c>
      <c r="BO35" s="24">
        <f>MOD(Q34+AE35+BA35+'📦 Константы SHA-512'!C33+BH229+BN35,4294967296)</f>
        <v>3373473380</v>
      </c>
      <c r="BP35" s="24" t="s">
        <v>327</v>
      </c>
      <c r="BQ35" s="24">
        <f t="shared" si="60"/>
        <v>973278210</v>
      </c>
      <c r="BR35" s="24">
        <f t="shared" si="61"/>
        <v>0</v>
      </c>
      <c r="BS35" s="24">
        <f t="shared" si="62"/>
        <v>3340909012</v>
      </c>
      <c r="BU35" s="24">
        <f t="shared" si="63"/>
        <v>1563184893</v>
      </c>
      <c r="BV35" s="24">
        <f t="shared" si="64"/>
        <v>1950052396</v>
      </c>
      <c r="BW35" s="24">
        <f t="shared" si="65"/>
        <v>2419415096</v>
      </c>
      <c r="BX35" s="24">
        <f t="shared" si="66"/>
        <v>2160853394</v>
      </c>
    </row>
    <row r="36" spans="2:76" ht="12.75" customHeight="1" x14ac:dyDescent="0.25">
      <c r="B36" s="43">
        <v>31</v>
      </c>
      <c r="C36" s="51">
        <f t="shared" si="0"/>
        <v>263890471</v>
      </c>
      <c r="D36" s="51">
        <f t="shared" si="1"/>
        <v>2680263510</v>
      </c>
      <c r="E36" s="51">
        <f t="shared" si="2"/>
        <v>2419415096</v>
      </c>
      <c r="F36" s="51">
        <f t="shared" si="3"/>
        <v>2160853394</v>
      </c>
      <c r="G36" s="51">
        <f t="shared" si="4"/>
        <v>2038763610</v>
      </c>
      <c r="H36" s="51">
        <f t="shared" si="5"/>
        <v>3212821093</v>
      </c>
      <c r="I36" s="51">
        <f t="shared" si="6"/>
        <v>3487642766</v>
      </c>
      <c r="J36" s="51">
        <f t="shared" si="7"/>
        <v>742187061</v>
      </c>
      <c r="K36" s="51">
        <f t="shared" si="8"/>
        <v>1752362854</v>
      </c>
      <c r="L36" s="51">
        <f t="shared" si="9"/>
        <v>3128927449</v>
      </c>
      <c r="M36" s="51">
        <f t="shared" si="10"/>
        <v>1563184893</v>
      </c>
      <c r="N36" s="51">
        <f t="shared" si="11"/>
        <v>1950052396</v>
      </c>
      <c r="O36" s="51">
        <f t="shared" si="12"/>
        <v>2838852606</v>
      </c>
      <c r="P36" s="51">
        <f t="shared" si="13"/>
        <v>843594331</v>
      </c>
      <c r="Q36" s="51">
        <f t="shared" si="14"/>
        <v>3256284657</v>
      </c>
      <c r="R36" s="51">
        <f t="shared" si="15"/>
        <v>616501694</v>
      </c>
      <c r="S36" s="24">
        <f t="shared" si="16"/>
        <v>3232855217</v>
      </c>
      <c r="T36" s="24">
        <f t="shared" si="17"/>
        <v>1005965549</v>
      </c>
      <c r="U36" s="24">
        <f t="shared" si="18"/>
        <v>3691714379</v>
      </c>
      <c r="V36" s="24">
        <f t="shared" si="19"/>
        <v>331308302</v>
      </c>
      <c r="W36" s="24">
        <f t="shared" si="20"/>
        <v>2126126520</v>
      </c>
      <c r="X36" s="24">
        <f t="shared" si="21"/>
        <v>372151847</v>
      </c>
      <c r="Y36" s="24">
        <f t="shared" si="22"/>
        <v>3221296129</v>
      </c>
      <c r="Z36" s="24">
        <f t="shared" si="23"/>
        <v>330649612</v>
      </c>
      <c r="AA36" s="24">
        <f t="shared" si="24"/>
        <v>481977338</v>
      </c>
      <c r="AB36" s="24">
        <f t="shared" si="25"/>
        <v>675974627</v>
      </c>
      <c r="AC36" s="24">
        <f t="shared" si="26"/>
        <v>481952184</v>
      </c>
      <c r="AD36" s="24">
        <f t="shared" si="27"/>
        <v>689187</v>
      </c>
      <c r="AE36" s="24">
        <f t="shared" si="28"/>
        <v>1644199490</v>
      </c>
      <c r="AF36" s="24">
        <f t="shared" si="29"/>
        <v>1046748100</v>
      </c>
      <c r="AG36" s="24">
        <f t="shared" si="30"/>
        <v>213915945</v>
      </c>
      <c r="AH36" s="24">
        <f t="shared" si="31"/>
        <v>55935880</v>
      </c>
      <c r="AI36" s="24">
        <f t="shared" si="32"/>
        <v>540213348</v>
      </c>
      <c r="AJ36" s="24">
        <f t="shared" si="33"/>
        <v>2752337422</v>
      </c>
      <c r="AK36" s="24">
        <f t="shared" si="34"/>
        <v>1895929859</v>
      </c>
      <c r="AL36" s="24">
        <f t="shared" si="35"/>
        <v>622881456</v>
      </c>
      <c r="AM36" s="24">
        <f t="shared" si="36"/>
        <v>32</v>
      </c>
      <c r="AN36" s="24">
        <f t="shared" si="37"/>
        <v>328200</v>
      </c>
      <c r="AO36" s="24">
        <f t="shared" si="38"/>
        <v>754129229</v>
      </c>
      <c r="AP36" s="24">
        <f t="shared" si="39"/>
        <v>2807616902</v>
      </c>
      <c r="AQ36" s="24">
        <f t="shared" si="40"/>
        <v>536942593</v>
      </c>
      <c r="AR36" s="24">
        <f t="shared" si="41"/>
        <v>620773504</v>
      </c>
      <c r="AS36" s="24">
        <f t="shared" si="42"/>
        <v>1576173902</v>
      </c>
      <c r="AT36" s="24">
        <f t="shared" si="43"/>
        <v>2188951350</v>
      </c>
      <c r="AU36" s="24">
        <f t="shared" si="44"/>
        <v>153371388</v>
      </c>
      <c r="AV36" s="24">
        <f t="shared" si="45"/>
        <v>805842952</v>
      </c>
      <c r="AW36" s="24">
        <f t="shared" si="46"/>
        <v>2182263040</v>
      </c>
      <c r="AX36" s="24">
        <f t="shared" si="47"/>
        <v>8651154</v>
      </c>
      <c r="BA36" s="24">
        <f t="shared" si="48"/>
        <v>2335634428</v>
      </c>
      <c r="BB36" s="24">
        <f t="shared" si="49"/>
        <v>814494106</v>
      </c>
      <c r="BC36" s="24">
        <f t="shared" si="50"/>
        <v>268767256</v>
      </c>
      <c r="BD36" s="24">
        <f t="shared" si="51"/>
        <v>2152464384</v>
      </c>
      <c r="BE36" s="24">
        <f t="shared" si="52"/>
        <v>2149650440</v>
      </c>
      <c r="BF36" s="24">
        <f t="shared" si="53"/>
        <v>786448</v>
      </c>
      <c r="BG36" s="24">
        <f t="shared" si="54"/>
        <v>1233195018</v>
      </c>
      <c r="BH36" s="24">
        <f t="shared" si="55"/>
        <v>742178853</v>
      </c>
      <c r="BI36" s="24">
        <f t="shared" si="56"/>
        <v>69640</v>
      </c>
      <c r="BJ36" s="24">
        <f t="shared" si="57"/>
        <v>786432</v>
      </c>
      <c r="BK36" s="24">
        <f t="shared" si="58"/>
        <v>3651473434</v>
      </c>
      <c r="BL36" s="24">
        <f t="shared" si="59"/>
        <v>2893856821</v>
      </c>
      <c r="BM36" s="24">
        <f>MOD(R35+AF36+BB36+'📦 Константы SHA-512'!D34+BI230,4294967296)</f>
        <v>1892422635</v>
      </c>
      <c r="BN36" s="24">
        <f>INT((R35+AF36+BB36+'📦 Константы SHA-512'!D34+BI230)/4294967296)</f>
        <v>1</v>
      </c>
      <c r="BO36" s="24">
        <f>MOD(Q35+AE36+BA36+'📦 Константы SHA-512'!C34+BH230+BN36,4294967296)</f>
        <v>3626177726</v>
      </c>
      <c r="BP36" s="24" t="s">
        <v>328</v>
      </c>
      <c r="BQ36" s="24">
        <f t="shared" si="60"/>
        <v>787840875</v>
      </c>
      <c r="BR36" s="24">
        <f t="shared" si="61"/>
        <v>1</v>
      </c>
      <c r="BS36" s="24">
        <f t="shared" si="62"/>
        <v>932680041</v>
      </c>
      <c r="BU36" s="24">
        <f t="shared" si="63"/>
        <v>1752362854</v>
      </c>
      <c r="BV36" s="24">
        <f t="shared" si="64"/>
        <v>3128927449</v>
      </c>
      <c r="BW36" s="24">
        <f t="shared" si="65"/>
        <v>263890471</v>
      </c>
      <c r="BX36" s="24">
        <f t="shared" si="66"/>
        <v>2680263510</v>
      </c>
    </row>
    <row r="37" spans="2:76" ht="12.75" customHeight="1" x14ac:dyDescent="0.25">
      <c r="B37" s="20">
        <v>32</v>
      </c>
      <c r="C37" s="53">
        <f t="shared" si="0"/>
        <v>803615254</v>
      </c>
      <c r="D37" s="53">
        <f t="shared" si="1"/>
        <v>2802031049</v>
      </c>
      <c r="E37" s="53">
        <f t="shared" si="2"/>
        <v>263890471</v>
      </c>
      <c r="F37" s="53">
        <f t="shared" si="3"/>
        <v>2680263510</v>
      </c>
      <c r="G37" s="53">
        <f t="shared" si="4"/>
        <v>2419415096</v>
      </c>
      <c r="H37" s="53">
        <f t="shared" si="5"/>
        <v>2160853394</v>
      </c>
      <c r="I37" s="53">
        <f t="shared" si="6"/>
        <v>2038763610</v>
      </c>
      <c r="J37" s="53">
        <f t="shared" si="7"/>
        <v>3212821093</v>
      </c>
      <c r="K37" s="53">
        <f t="shared" si="8"/>
        <v>2436596694</v>
      </c>
      <c r="L37" s="53">
        <f t="shared" si="9"/>
        <v>1595357164</v>
      </c>
      <c r="M37" s="53">
        <f t="shared" si="10"/>
        <v>1752362854</v>
      </c>
      <c r="N37" s="53">
        <f t="shared" si="11"/>
        <v>3128927449</v>
      </c>
      <c r="O37" s="53">
        <f t="shared" si="12"/>
        <v>1563184893</v>
      </c>
      <c r="P37" s="53">
        <f t="shared" si="13"/>
        <v>1950052396</v>
      </c>
      <c r="Q37" s="53">
        <f t="shared" si="14"/>
        <v>2838852606</v>
      </c>
      <c r="R37" s="53">
        <f t="shared" si="15"/>
        <v>843594331</v>
      </c>
      <c r="S37" s="24">
        <f t="shared" si="16"/>
        <v>2472911307</v>
      </c>
      <c r="T37" s="24">
        <f t="shared" si="17"/>
        <v>3181046270</v>
      </c>
      <c r="U37" s="24">
        <f t="shared" si="18"/>
        <v>3912653340</v>
      </c>
      <c r="V37" s="24">
        <f t="shared" si="19"/>
        <v>3151605407</v>
      </c>
      <c r="W37" s="24">
        <f t="shared" si="20"/>
        <v>3009232850</v>
      </c>
      <c r="X37" s="24">
        <f t="shared" si="21"/>
        <v>1823750519</v>
      </c>
      <c r="Y37" s="24">
        <f t="shared" si="22"/>
        <v>2166620168</v>
      </c>
      <c r="Z37" s="24">
        <f t="shared" si="23"/>
        <v>3113789598</v>
      </c>
      <c r="AA37" s="24">
        <f t="shared" si="24"/>
        <v>2052324311</v>
      </c>
      <c r="AB37" s="24">
        <f t="shared" si="25"/>
        <v>105072481</v>
      </c>
      <c r="AC37" s="24">
        <f t="shared" si="26"/>
        <v>844184530</v>
      </c>
      <c r="AD37" s="24">
        <f t="shared" si="27"/>
        <v>67109217</v>
      </c>
      <c r="AE37" s="24">
        <f t="shared" si="28"/>
        <v>3373188101</v>
      </c>
      <c r="AF37" s="24">
        <f t="shared" si="29"/>
        <v>1794604566</v>
      </c>
      <c r="AG37" s="24">
        <f t="shared" si="30"/>
        <v>4229510496</v>
      </c>
      <c r="AH37" s="24">
        <f t="shared" si="31"/>
        <v>4222247545</v>
      </c>
      <c r="AI37" s="24">
        <f t="shared" si="32"/>
        <v>3891291349</v>
      </c>
      <c r="AJ37" s="24">
        <f t="shared" si="33"/>
        <v>2213456265</v>
      </c>
      <c r="AK37" s="24">
        <f t="shared" si="34"/>
        <v>1329562406</v>
      </c>
      <c r="AL37" s="24">
        <f t="shared" si="35"/>
        <v>2887742796</v>
      </c>
      <c r="AM37" s="24">
        <f t="shared" si="36"/>
        <v>3826263104</v>
      </c>
      <c r="AN37" s="24">
        <f t="shared" si="37"/>
        <v>2208964617</v>
      </c>
      <c r="AO37" s="24">
        <f t="shared" si="38"/>
        <v>468275637</v>
      </c>
      <c r="AP37" s="24">
        <f t="shared" si="39"/>
        <v>2017774576</v>
      </c>
      <c r="AQ37" s="24">
        <f t="shared" si="40"/>
        <v>187236644</v>
      </c>
      <c r="AR37" s="24">
        <f t="shared" si="41"/>
        <v>671367488</v>
      </c>
      <c r="AS37" s="24">
        <f t="shared" si="42"/>
        <v>1423364755</v>
      </c>
      <c r="AT37" s="24">
        <f t="shared" si="43"/>
        <v>3562782396</v>
      </c>
      <c r="AU37" s="24">
        <f t="shared" si="44"/>
        <v>1210076772</v>
      </c>
      <c r="AV37" s="24">
        <f t="shared" si="45"/>
        <v>809181192</v>
      </c>
      <c r="AW37" s="24">
        <f t="shared" si="46"/>
        <v>2164592792</v>
      </c>
      <c r="AX37" s="24">
        <f t="shared" si="47"/>
        <v>6658</v>
      </c>
      <c r="BA37" s="24">
        <f t="shared" si="48"/>
        <v>3374669564</v>
      </c>
      <c r="BB37" s="24">
        <f t="shared" si="49"/>
        <v>809187850</v>
      </c>
      <c r="BC37" s="24">
        <f t="shared" si="50"/>
        <v>3145760</v>
      </c>
      <c r="BD37" s="24">
        <f t="shared" si="51"/>
        <v>2160066834</v>
      </c>
      <c r="BE37" s="24">
        <f t="shared" si="52"/>
        <v>159383554</v>
      </c>
      <c r="BF37" s="24">
        <f t="shared" si="53"/>
        <v>2671870532</v>
      </c>
      <c r="BG37" s="24">
        <f t="shared" si="54"/>
        <v>268767256</v>
      </c>
      <c r="BH37" s="24">
        <f t="shared" si="55"/>
        <v>2152464384</v>
      </c>
      <c r="BI37" s="24">
        <f t="shared" si="56"/>
        <v>0</v>
      </c>
      <c r="BJ37" s="24">
        <f t="shared" si="57"/>
        <v>2151677952</v>
      </c>
      <c r="BK37" s="24">
        <f t="shared" si="58"/>
        <v>431296570</v>
      </c>
      <c r="BL37" s="24">
        <f t="shared" si="59"/>
        <v>2681045846</v>
      </c>
      <c r="BM37" s="24">
        <f>MOD(R36+AF37+BB37+'📦 Константы SHA-512'!D35+BI231,4294967296)</f>
        <v>853170103</v>
      </c>
      <c r="BN37" s="24">
        <f>INT((R36+AF37+BB37+'📦 Константы SHA-512'!D35+BI231)/4294967296)</f>
        <v>1</v>
      </c>
      <c r="BO37" s="24">
        <f>MOD(Q36+AE37+BA37+'📦 Константы SHA-512'!C35+BH231+BN37,4294967296)</f>
        <v>3243921224</v>
      </c>
      <c r="BP37" s="24" t="s">
        <v>329</v>
      </c>
      <c r="BQ37" s="24">
        <f t="shared" si="60"/>
        <v>1948860946</v>
      </c>
      <c r="BR37" s="24">
        <f t="shared" si="61"/>
        <v>1</v>
      </c>
      <c r="BS37" s="24">
        <f t="shared" si="62"/>
        <v>1854661326</v>
      </c>
      <c r="BU37" s="24">
        <f t="shared" si="63"/>
        <v>2436596694</v>
      </c>
      <c r="BV37" s="24">
        <f t="shared" si="64"/>
        <v>1595357164</v>
      </c>
      <c r="BW37" s="24">
        <f t="shared" si="65"/>
        <v>803615254</v>
      </c>
      <c r="BX37" s="24">
        <f t="shared" si="66"/>
        <v>2802031049</v>
      </c>
    </row>
    <row r="38" spans="2:76" ht="12.75" customHeight="1" x14ac:dyDescent="0.25">
      <c r="B38" s="46">
        <v>33</v>
      </c>
      <c r="C38" s="23">
        <f t="shared" ref="C38:C69" si="67">BW38</f>
        <v>689959463</v>
      </c>
      <c r="D38" s="23">
        <f t="shared" ref="D38:D69" si="68">BX38</f>
        <v>907839838</v>
      </c>
      <c r="E38" s="23">
        <f t="shared" ref="E38:E69" si="69">C37</f>
        <v>803615254</v>
      </c>
      <c r="F38" s="23">
        <f t="shared" ref="F38:F69" si="70">D37</f>
        <v>2802031049</v>
      </c>
      <c r="G38" s="23">
        <f t="shared" ref="G38:G69" si="71">E37</f>
        <v>263890471</v>
      </c>
      <c r="H38" s="23">
        <f t="shared" ref="H38:H69" si="72">F37</f>
        <v>2680263510</v>
      </c>
      <c r="I38" s="23">
        <f t="shared" ref="I38:I69" si="73">G37</f>
        <v>2419415096</v>
      </c>
      <c r="J38" s="23">
        <f t="shared" ref="J38:J69" si="74">H37</f>
        <v>2160853394</v>
      </c>
      <c r="K38" s="23">
        <f t="shared" ref="K38:K69" si="75">BU38</f>
        <v>2654425720</v>
      </c>
      <c r="L38" s="23">
        <f t="shared" ref="L38:L69" si="76">BV38</f>
        <v>1175804006</v>
      </c>
      <c r="M38" s="23">
        <f t="shared" ref="M38:M69" si="77">K37</f>
        <v>2436596694</v>
      </c>
      <c r="N38" s="23">
        <f t="shared" ref="N38:N69" si="78">L37</f>
        <v>1595357164</v>
      </c>
      <c r="O38" s="23">
        <f t="shared" ref="O38:O69" si="79">M37</f>
        <v>1752362854</v>
      </c>
      <c r="P38" s="23">
        <f t="shared" ref="P38:P69" si="80">N37</f>
        <v>3128927449</v>
      </c>
      <c r="Q38" s="23">
        <f t="shared" ref="Q38:Q69" si="81">O37</f>
        <v>1563184893</v>
      </c>
      <c r="R38" s="23">
        <f t="shared" ref="R38:R69" si="82">P37</f>
        <v>1950052396</v>
      </c>
      <c r="S38" s="24">
        <f t="shared" ref="S38:S69" si="83">MOD(INT(K37/2^14)+MOD(L37,2^14)*2^18,4294967296)</f>
        <v>3753002222</v>
      </c>
      <c r="T38" s="24">
        <f t="shared" ref="T38:T69" si="84">MOD(INT(L37/2^14)+MOD(K37,2^14)*2^18,4294967296)</f>
        <v>257522780</v>
      </c>
      <c r="U38" s="24">
        <f t="shared" ref="U38:U69" si="85">MOD(INT(K37/2^18)+MOD(L37,2^18)*2^14,4294967296)</f>
        <v>3455788110</v>
      </c>
      <c r="V38" s="24">
        <f t="shared" ref="V38:V69" si="86">MOD(INT(L37/2^18)+MOD(K37,2^18)*2^14,4294967296)</f>
        <v>3774191557</v>
      </c>
      <c r="W38" s="24">
        <f t="shared" ref="W38:W69" si="87">MOD(INT(L37/2^9)+MOD(K37,2^9)*2^23,4294967296)</f>
        <v>3945761691</v>
      </c>
      <c r="X38" s="24">
        <f t="shared" ref="X38:X69" si="88">MOD(INT(K37/2^9)+MOD(L37,2^9)*2^23,4294967296)</f>
        <v>4131954113</v>
      </c>
      <c r="Y38" s="24">
        <f t="shared" ref="Y38:Y69" si="89">((MOD(INT(MOD(INT((S38)/1),256)/2^0),2)*MOD(INT(MOD(INT((U38)/1),256)/2^0),2)*1+MOD(INT(MOD(INT((S38)/1),256)/2^1),2)*MOD(INT(MOD(INT((U38)/1),256)/2^1),2)*2+MOD(INT(MOD(INT((S38)/1),256)/2^2),2)*MOD(INT(MOD(INT((U38)/1),256)/2^2),2)*4+MOD(INT(MOD(INT((S38)/1),256)/2^3),2)*MOD(INT(MOD(INT((U38)/1),256)/2^3),2)*8+MOD(INT(MOD(INT((S38)/1),256)/2^4),2)*MOD(INT(MOD(INT((U38)/1),256)/2^4),2)*16+MOD(INT(MOD(INT((S38)/1),256)/2^5),2)*MOD(INT(MOD(INT((U38)/1),256)/2^5),2)*32+MOD(INT(MOD(INT((S38)/1),256)/2^6),2)*MOD(INT(MOD(INT((U38)/1),256)/2^6),2)*64+MOD(INT(MOD(INT((S38)/1),256)/2^7),2)*MOD(INT(MOD(INT((U38)/1),256)/2^7),2)*128)*1+(MOD(INT(MOD(INT((S38)/256),256)/2^0),2)*MOD(INT(MOD(INT((U38)/256),256)/2^0),2)*1+MOD(INT(MOD(INT((S38)/256),256)/2^1),2)*MOD(INT(MOD(INT((U38)/256),256)/2^1),2)*2+MOD(INT(MOD(INT((S38)/256),256)/2^2),2)*MOD(INT(MOD(INT((U38)/256),256)/2^2),2)*4+MOD(INT(MOD(INT((S38)/256),256)/2^3),2)*MOD(INT(MOD(INT((U38)/256),256)/2^3),2)*8+MOD(INT(MOD(INT((S38)/256),256)/2^4),2)*MOD(INT(MOD(INT((U38)/256),256)/2^4),2)*16+MOD(INT(MOD(INT((S38)/256),256)/2^5),2)*MOD(INT(MOD(INT((U38)/256),256)/2^5),2)*32+MOD(INT(MOD(INT((S38)/256),256)/2^6),2)*MOD(INT(MOD(INT((U38)/256),256)/2^6),2)*64+MOD(INT(MOD(INT((S38)/256),256)/2^7),2)*MOD(INT(MOD(INT((U38)/256),256)/2^7),2)*128)*256+(MOD(INT(MOD(INT((S38)/65536),256)/2^0),2)*MOD(INT(MOD(INT((U38)/65536),256)/2^0),2)*1+MOD(INT(MOD(INT((S38)/65536),256)/2^1),2)*MOD(INT(MOD(INT((U38)/65536),256)/2^1),2)*2+MOD(INT(MOD(INT((S38)/65536),256)/2^2),2)*MOD(INT(MOD(INT((U38)/65536),256)/2^2),2)*4+MOD(INT(MOD(INT((S38)/65536),256)/2^3),2)*MOD(INT(MOD(INT((U38)/65536),256)/2^3),2)*8+MOD(INT(MOD(INT((S38)/65536),256)/2^4),2)*MOD(INT(MOD(INT((U38)/65536),256)/2^4),2)*16+MOD(INT(MOD(INT((S38)/65536),256)/2^5),2)*MOD(INT(MOD(INT((U38)/65536),256)/2^5),2)*32+MOD(INT(MOD(INT((S38)/65536),256)/2^6),2)*MOD(INT(MOD(INT((U38)/65536),256)/2^6),2)*64+MOD(INT(MOD(INT((S38)/65536),256)/2^7),2)*MOD(INT(MOD(INT((U38)/65536),256)/2^7),2)*128)*65536+(MOD(INT(MOD(INT((S38)/16777216),256)/2^0),2)*MOD(INT(MOD(INT((U38)/16777216),256)/2^0),2)*1+MOD(INT(MOD(INT((S38)/16777216),256)/2^1),2)*MOD(INT(MOD(INT((U38)/16777216),256)/2^1),2)*2+MOD(INT(MOD(INT((S38)/16777216),256)/2^2),2)*MOD(INT(MOD(INT((U38)/16777216),256)/2^2),2)*4+MOD(INT(MOD(INT((S38)/16777216),256)/2^3),2)*MOD(INT(MOD(INT((U38)/16777216),256)/2^3),2)*8+MOD(INT(MOD(INT((S38)/16777216),256)/2^4),2)*MOD(INT(MOD(INT((U38)/16777216),256)/2^4),2)*16+MOD(INT(MOD(INT((S38)/16777216),256)/2^5),2)*MOD(INT(MOD(INT((U38)/16777216),256)/2^5),2)*32+MOD(INT(MOD(INT((S38)/16777216),256)/2^6),2)*MOD(INT(MOD(INT((U38)/16777216),256)/2^6),2)*64+MOD(INT(MOD(INT((S38)/16777216),256)/2^7),2)*MOD(INT(MOD(INT((U38)/16777216),256)/2^7),2)*128)*16777216)</f>
        <v>3450995790</v>
      </c>
      <c r="Z38" s="24">
        <f t="shared" ref="Z38:Z69" si="90">((MOD(INT(MOD(INT((T38)/1),256)/2^0),2)*MOD(INT(MOD(INT((V38)/1),256)/2^0),2)*1+MOD(INT(MOD(INT((T38)/1),256)/2^1),2)*MOD(INT(MOD(INT((V38)/1),256)/2^1),2)*2+MOD(INT(MOD(INT((T38)/1),256)/2^2),2)*MOD(INT(MOD(INT((V38)/1),256)/2^2),2)*4+MOD(INT(MOD(INT((T38)/1),256)/2^3),2)*MOD(INT(MOD(INT((V38)/1),256)/2^3),2)*8+MOD(INT(MOD(INT((T38)/1),256)/2^4),2)*MOD(INT(MOD(INT((V38)/1),256)/2^4),2)*16+MOD(INT(MOD(INT((T38)/1),256)/2^5),2)*MOD(INT(MOD(INT((V38)/1),256)/2^5),2)*32+MOD(INT(MOD(INT((T38)/1),256)/2^6),2)*MOD(INT(MOD(INT((V38)/1),256)/2^6),2)*64+MOD(INT(MOD(INT((T38)/1),256)/2^7),2)*MOD(INT(MOD(INT((V38)/1),256)/2^7),2)*128)*1+(MOD(INT(MOD(INT((T38)/256),256)/2^0),2)*MOD(INT(MOD(INT((V38)/256),256)/2^0),2)*1+MOD(INT(MOD(INT((T38)/256),256)/2^1),2)*MOD(INT(MOD(INT((V38)/256),256)/2^1),2)*2+MOD(INT(MOD(INT((T38)/256),256)/2^2),2)*MOD(INT(MOD(INT((V38)/256),256)/2^2),2)*4+MOD(INT(MOD(INT((T38)/256),256)/2^3),2)*MOD(INT(MOD(INT((V38)/256),256)/2^3),2)*8+MOD(INT(MOD(INT((T38)/256),256)/2^4),2)*MOD(INT(MOD(INT((V38)/256),256)/2^4),2)*16+MOD(INT(MOD(INT((T38)/256),256)/2^5),2)*MOD(INT(MOD(INT((V38)/256),256)/2^5),2)*32+MOD(INT(MOD(INT((T38)/256),256)/2^6),2)*MOD(INT(MOD(INT((V38)/256),256)/2^6),2)*64+MOD(INT(MOD(INT((T38)/256),256)/2^7),2)*MOD(INT(MOD(INT((V38)/256),256)/2^7),2)*128)*256+(MOD(INT(MOD(INT((T38)/65536),256)/2^0),2)*MOD(INT(MOD(INT((V38)/65536),256)/2^0),2)*1+MOD(INT(MOD(INT((T38)/65536),256)/2^1),2)*MOD(INT(MOD(INT((V38)/65536),256)/2^1),2)*2+MOD(INT(MOD(INT((T38)/65536),256)/2^2),2)*MOD(INT(MOD(INT((V38)/65536),256)/2^2),2)*4+MOD(INT(MOD(INT((T38)/65536),256)/2^3),2)*MOD(INT(MOD(INT((V38)/65536),256)/2^3),2)*8+MOD(INT(MOD(INT((T38)/65536),256)/2^4),2)*MOD(INT(MOD(INT((V38)/65536),256)/2^4),2)*16+MOD(INT(MOD(INT((T38)/65536),256)/2^5),2)*MOD(INT(MOD(INT((V38)/65536),256)/2^5),2)*32+MOD(INT(MOD(INT((T38)/65536),256)/2^6),2)*MOD(INT(MOD(INT((V38)/65536),256)/2^6),2)*64+MOD(INT(MOD(INT((T38)/65536),256)/2^7),2)*MOD(INT(MOD(INT((V38)/65536),256)/2^7),2)*128)*65536+(MOD(INT(MOD(INT((T38)/16777216),256)/2^0),2)*MOD(INT(MOD(INT((V38)/16777216),256)/2^0),2)*1+MOD(INT(MOD(INT((T38)/16777216),256)/2^1),2)*MOD(INT(MOD(INT((V38)/16777216),256)/2^1),2)*2+MOD(INT(MOD(INT((T38)/16777216),256)/2^2),2)*MOD(INT(MOD(INT((V38)/16777216),256)/2^2),2)*4+MOD(INT(MOD(INT((T38)/16777216),256)/2^3),2)*MOD(INT(MOD(INT((V38)/16777216),256)/2^3),2)*8+MOD(INT(MOD(INT((T38)/16777216),256)/2^4),2)*MOD(INT(MOD(INT((V38)/16777216),256)/2^4),2)*16+MOD(INT(MOD(INT((T38)/16777216),256)/2^5),2)*MOD(INT(MOD(INT((V38)/16777216),256)/2^5),2)*32+MOD(INT(MOD(INT((T38)/16777216),256)/2^6),2)*MOD(INT(MOD(INT((V38)/16777216),256)/2^6),2)*64+MOD(INT(MOD(INT((T38)/16777216),256)/2^7),2)*MOD(INT(MOD(INT((V38)/16777216),256)/2^7),2)*128)*16777216)</f>
        <v>5313604</v>
      </c>
      <c r="AA38" s="24">
        <f t="shared" ref="AA38:AA69" si="91">MOD(S38+U38-2*Y38,4294967296)</f>
        <v>306798752</v>
      </c>
      <c r="AB38" s="24">
        <f t="shared" ref="AB38:AB69" si="92">MOD(T38+V38-2*Z38,4294967296)</f>
        <v>4021087129</v>
      </c>
      <c r="AC38" s="24">
        <f t="shared" ref="AC38:AC69" si="93">((MOD(INT(MOD(INT((AA38)/1),256)/2^0),2)*MOD(INT(MOD(INT((W38)/1),256)/2^0),2)*1+MOD(INT(MOD(INT((AA38)/1),256)/2^1),2)*MOD(INT(MOD(INT((W38)/1),256)/2^1),2)*2+MOD(INT(MOD(INT((AA38)/1),256)/2^2),2)*MOD(INT(MOD(INT((W38)/1),256)/2^2),2)*4+MOD(INT(MOD(INT((AA38)/1),256)/2^3),2)*MOD(INT(MOD(INT((W38)/1),256)/2^3),2)*8+MOD(INT(MOD(INT((AA38)/1),256)/2^4),2)*MOD(INT(MOD(INT((W38)/1),256)/2^4),2)*16+MOD(INT(MOD(INT((AA38)/1),256)/2^5),2)*MOD(INT(MOD(INT((W38)/1),256)/2^5),2)*32+MOD(INT(MOD(INT((AA38)/1),256)/2^6),2)*MOD(INT(MOD(INT((W38)/1),256)/2^6),2)*64+MOD(INT(MOD(INT((AA38)/1),256)/2^7),2)*MOD(INT(MOD(INT((W38)/1),256)/2^7),2)*128)*1+(MOD(INT(MOD(INT((AA38)/256),256)/2^0),2)*MOD(INT(MOD(INT((W38)/256),256)/2^0),2)*1+MOD(INT(MOD(INT((AA38)/256),256)/2^1),2)*MOD(INT(MOD(INT((W38)/256),256)/2^1),2)*2+MOD(INT(MOD(INT((AA38)/256),256)/2^2),2)*MOD(INT(MOD(INT((W38)/256),256)/2^2),2)*4+MOD(INT(MOD(INT((AA38)/256),256)/2^3),2)*MOD(INT(MOD(INT((W38)/256),256)/2^3),2)*8+MOD(INT(MOD(INT((AA38)/256),256)/2^4),2)*MOD(INT(MOD(INT((W38)/256),256)/2^4),2)*16+MOD(INT(MOD(INT((AA38)/256),256)/2^5),2)*MOD(INT(MOD(INT((W38)/256),256)/2^5),2)*32+MOD(INT(MOD(INT((AA38)/256),256)/2^6),2)*MOD(INT(MOD(INT((W38)/256),256)/2^6),2)*64+MOD(INT(MOD(INT((AA38)/256),256)/2^7),2)*MOD(INT(MOD(INT((W38)/256),256)/2^7),2)*128)*256+(MOD(INT(MOD(INT((AA38)/65536),256)/2^0),2)*MOD(INT(MOD(INT((W38)/65536),256)/2^0),2)*1+MOD(INT(MOD(INT((AA38)/65536),256)/2^1),2)*MOD(INT(MOD(INT((W38)/65536),256)/2^1),2)*2+MOD(INT(MOD(INT((AA38)/65536),256)/2^2),2)*MOD(INT(MOD(INT((W38)/65536),256)/2^2),2)*4+MOD(INT(MOD(INT((AA38)/65536),256)/2^3),2)*MOD(INT(MOD(INT((W38)/65536),256)/2^3),2)*8+MOD(INT(MOD(INT((AA38)/65536),256)/2^4),2)*MOD(INT(MOD(INT((W38)/65536),256)/2^4),2)*16+MOD(INT(MOD(INT((AA38)/65536),256)/2^5),2)*MOD(INT(MOD(INT((W38)/65536),256)/2^5),2)*32+MOD(INT(MOD(INT((AA38)/65536),256)/2^6),2)*MOD(INT(MOD(INT((W38)/65536),256)/2^6),2)*64+MOD(INT(MOD(INT((AA38)/65536),256)/2^7),2)*MOD(INT(MOD(INT((W38)/65536),256)/2^7),2)*128)*65536+(MOD(INT(MOD(INT((AA38)/16777216),256)/2^0),2)*MOD(INT(MOD(INT((W38)/16777216),256)/2^0),2)*1+MOD(INT(MOD(INT((AA38)/16777216),256)/2^1),2)*MOD(INT(MOD(INT((W38)/16777216),256)/2^1),2)*2+MOD(INT(MOD(INT((AA38)/16777216),256)/2^2),2)*MOD(INT(MOD(INT((W38)/16777216),256)/2^2),2)*4+MOD(INT(MOD(INT((AA38)/16777216),256)/2^3),2)*MOD(INT(MOD(INT((W38)/16777216),256)/2^3),2)*8+MOD(INT(MOD(INT((AA38)/16777216),256)/2^4),2)*MOD(INT(MOD(INT((W38)/16777216),256)/2^4),2)*16+MOD(INT(MOD(INT((AA38)/16777216),256)/2^5),2)*MOD(INT(MOD(INT((W38)/16777216),256)/2^5),2)*32+MOD(INT(MOD(INT((AA38)/16777216),256)/2^6),2)*MOD(INT(MOD(INT((W38)/16777216),256)/2^6),2)*64+MOD(INT(MOD(INT((AA38)/16777216),256)/2^7),2)*MOD(INT(MOD(INT((W38)/16777216),256)/2^7),2)*128)*16777216)</f>
        <v>34144384</v>
      </c>
      <c r="AD38" s="24">
        <f t="shared" ref="AD38:AD69" si="94">((MOD(INT(MOD(INT((AB38)/1),256)/2^0),2)*MOD(INT(MOD(INT((X38)/1),256)/2^0),2)*1+MOD(INT(MOD(INT((AB38)/1),256)/2^1),2)*MOD(INT(MOD(INT((X38)/1),256)/2^1),2)*2+MOD(INT(MOD(INT((AB38)/1),256)/2^2),2)*MOD(INT(MOD(INT((X38)/1),256)/2^2),2)*4+MOD(INT(MOD(INT((AB38)/1),256)/2^3),2)*MOD(INT(MOD(INT((X38)/1),256)/2^3),2)*8+MOD(INT(MOD(INT((AB38)/1),256)/2^4),2)*MOD(INT(MOD(INT((X38)/1),256)/2^4),2)*16+MOD(INT(MOD(INT((AB38)/1),256)/2^5),2)*MOD(INT(MOD(INT((X38)/1),256)/2^5),2)*32+MOD(INT(MOD(INT((AB38)/1),256)/2^6),2)*MOD(INT(MOD(INT((X38)/1),256)/2^6),2)*64+MOD(INT(MOD(INT((AB38)/1),256)/2^7),2)*MOD(INT(MOD(INT((X38)/1),256)/2^7),2)*128)*1+(MOD(INT(MOD(INT((AB38)/256),256)/2^0),2)*MOD(INT(MOD(INT((X38)/256),256)/2^0),2)*1+MOD(INT(MOD(INT((AB38)/256),256)/2^1),2)*MOD(INT(MOD(INT((X38)/256),256)/2^1),2)*2+MOD(INT(MOD(INT((AB38)/256),256)/2^2),2)*MOD(INT(MOD(INT((X38)/256),256)/2^2),2)*4+MOD(INT(MOD(INT((AB38)/256),256)/2^3),2)*MOD(INT(MOD(INT((X38)/256),256)/2^3),2)*8+MOD(INT(MOD(INT((AB38)/256),256)/2^4),2)*MOD(INT(MOD(INT((X38)/256),256)/2^4),2)*16+MOD(INT(MOD(INT((AB38)/256),256)/2^5),2)*MOD(INT(MOD(INT((X38)/256),256)/2^5),2)*32+MOD(INT(MOD(INT((AB38)/256),256)/2^6),2)*MOD(INT(MOD(INT((X38)/256),256)/2^6),2)*64+MOD(INT(MOD(INT((AB38)/256),256)/2^7),2)*MOD(INT(MOD(INT((X38)/256),256)/2^7),2)*128)*256+(MOD(INT(MOD(INT((AB38)/65536),256)/2^0),2)*MOD(INT(MOD(INT((X38)/65536),256)/2^0),2)*1+MOD(INT(MOD(INT((AB38)/65536),256)/2^1),2)*MOD(INT(MOD(INT((X38)/65536),256)/2^1),2)*2+MOD(INT(MOD(INT((AB38)/65536),256)/2^2),2)*MOD(INT(MOD(INT((X38)/65536),256)/2^2),2)*4+MOD(INT(MOD(INT((AB38)/65536),256)/2^3),2)*MOD(INT(MOD(INT((X38)/65536),256)/2^3),2)*8+MOD(INT(MOD(INT((AB38)/65536),256)/2^4),2)*MOD(INT(MOD(INT((X38)/65536),256)/2^4),2)*16+MOD(INT(MOD(INT((AB38)/65536),256)/2^5),2)*MOD(INT(MOD(INT((X38)/65536),256)/2^5),2)*32+MOD(INT(MOD(INT((AB38)/65536),256)/2^6),2)*MOD(INT(MOD(INT((X38)/65536),256)/2^6),2)*64+MOD(INT(MOD(INT((AB38)/65536),256)/2^7),2)*MOD(INT(MOD(INT((X38)/65536),256)/2^7),2)*128)*65536+(MOD(INT(MOD(INT((AB38)/16777216),256)/2^0),2)*MOD(INT(MOD(INT((X38)/16777216),256)/2^0),2)*1+MOD(INT(MOD(INT((AB38)/16777216),256)/2^1),2)*MOD(INT(MOD(INT((X38)/16777216),256)/2^1),2)*2+MOD(INT(MOD(INT((AB38)/16777216),256)/2^2),2)*MOD(INT(MOD(INT((X38)/16777216),256)/2^2),2)*4+MOD(INT(MOD(INT((AB38)/16777216),256)/2^3),2)*MOD(INT(MOD(INT((X38)/16777216),256)/2^3),2)*8+MOD(INT(MOD(INT((AB38)/16777216),256)/2^4),2)*MOD(INT(MOD(INT((X38)/16777216),256)/2^4),2)*16+MOD(INT(MOD(INT((AB38)/16777216),256)/2^5),2)*MOD(INT(MOD(INT((X38)/16777216),256)/2^5),2)*32+MOD(INT(MOD(INT((AB38)/16777216),256)/2^6),2)*MOD(INT(MOD(INT((X38)/16777216),256)/2^6),2)*64+MOD(INT(MOD(INT((AB38)/16777216),256)/2^7),2)*MOD(INT(MOD(INT((X38)/16777216),256)/2^7),2)*128)*16777216)</f>
        <v>3859319169</v>
      </c>
      <c r="AE38" s="24">
        <f t="shared" ref="AE38:AE69" si="95">MOD(AA38+W38-2*AC38,4294967296)</f>
        <v>4184271675</v>
      </c>
      <c r="AF38" s="24">
        <f t="shared" ref="AF38:AF69" si="96">MOD(AB38+X38-2*AD38,4294967296)</f>
        <v>434402904</v>
      </c>
      <c r="AG38" s="24">
        <f t="shared" ref="AG38:AG69" si="97">MOD(INT(C37/2^28)+MOD(D37,2^28)*2^4,4294967296)</f>
        <v>1882823826</v>
      </c>
      <c r="AH38" s="24">
        <f t="shared" ref="AH38:AH69" si="98">MOD(INT(D37/2^28)+MOD(C37,2^28)*2^4,4294967296)</f>
        <v>4267909482</v>
      </c>
      <c r="AI38" s="24">
        <f t="shared" ref="AI38:AI69" si="99">MOD(INT(D37/2^2)+MOD(C37,2^2)*2^30,4294967296)</f>
        <v>2847991410</v>
      </c>
      <c r="AJ38" s="24">
        <f t="shared" ref="AJ38:AJ69" si="100">MOD(INT(C37/2^2)+MOD(D37,2^2)*2^30,4294967296)</f>
        <v>1274645637</v>
      </c>
      <c r="AK38" s="24">
        <f t="shared" ref="AK38:AK69" si="101">MOD(INT(D37/2^7)+MOD(C37,2^7)*2^25,4294967296)</f>
        <v>760088371</v>
      </c>
      <c r="AL38" s="24">
        <f t="shared" ref="AL38:AL69" si="102">MOD(INT(C37/2^7)+MOD(D37,2^7)*2^25,4294967296)</f>
        <v>2455751780</v>
      </c>
      <c r="AM38" s="24">
        <f t="shared" ref="AM38:AM69" si="103">((MOD(INT(MOD(INT((AG38)/1),256)/2^0),2)*MOD(INT(MOD(INT((AI38)/1),256)/2^0),2)*1+MOD(INT(MOD(INT((AG38)/1),256)/2^1),2)*MOD(INT(MOD(INT((AI38)/1),256)/2^1),2)*2+MOD(INT(MOD(INT((AG38)/1),256)/2^2),2)*MOD(INT(MOD(INT((AI38)/1),256)/2^2),2)*4+MOD(INT(MOD(INT((AG38)/1),256)/2^3),2)*MOD(INT(MOD(INT((AI38)/1),256)/2^3),2)*8+MOD(INT(MOD(INT((AG38)/1),256)/2^4),2)*MOD(INT(MOD(INT((AI38)/1),256)/2^4),2)*16+MOD(INT(MOD(INT((AG38)/1),256)/2^5),2)*MOD(INT(MOD(INT((AI38)/1),256)/2^5),2)*32+MOD(INT(MOD(INT((AG38)/1),256)/2^6),2)*MOD(INT(MOD(INT((AI38)/1),256)/2^6),2)*64+MOD(INT(MOD(INT((AG38)/1),256)/2^7),2)*MOD(INT(MOD(INT((AI38)/1),256)/2^7),2)*128)*1+(MOD(INT(MOD(INT((AG38)/256),256)/2^0),2)*MOD(INT(MOD(INT((AI38)/256),256)/2^0),2)*1+MOD(INT(MOD(INT((AG38)/256),256)/2^1),2)*MOD(INT(MOD(INT((AI38)/256),256)/2^1),2)*2+MOD(INT(MOD(INT((AG38)/256),256)/2^2),2)*MOD(INT(MOD(INT((AI38)/256),256)/2^2),2)*4+MOD(INT(MOD(INT((AG38)/256),256)/2^3),2)*MOD(INT(MOD(INT((AI38)/256),256)/2^3),2)*8+MOD(INT(MOD(INT((AG38)/256),256)/2^4),2)*MOD(INT(MOD(INT((AI38)/256),256)/2^4),2)*16+MOD(INT(MOD(INT((AG38)/256),256)/2^5),2)*MOD(INT(MOD(INT((AI38)/256),256)/2^5),2)*32+MOD(INT(MOD(INT((AG38)/256),256)/2^6),2)*MOD(INT(MOD(INT((AI38)/256),256)/2^6),2)*64+MOD(INT(MOD(INT((AG38)/256),256)/2^7),2)*MOD(INT(MOD(INT((AI38)/256),256)/2^7),2)*128)*256+(MOD(INT(MOD(INT((AG38)/65536),256)/2^0),2)*MOD(INT(MOD(INT((AI38)/65536),256)/2^0),2)*1+MOD(INT(MOD(INT((AG38)/65536),256)/2^1),2)*MOD(INT(MOD(INT((AI38)/65536),256)/2^1),2)*2+MOD(INT(MOD(INT((AG38)/65536),256)/2^2),2)*MOD(INT(MOD(INT((AI38)/65536),256)/2^2),2)*4+MOD(INT(MOD(INT((AG38)/65536),256)/2^3),2)*MOD(INT(MOD(INT((AI38)/65536),256)/2^3),2)*8+MOD(INT(MOD(INT((AG38)/65536),256)/2^4),2)*MOD(INT(MOD(INT((AI38)/65536),256)/2^4),2)*16+MOD(INT(MOD(INT((AG38)/65536),256)/2^5),2)*MOD(INT(MOD(INT((AI38)/65536),256)/2^5),2)*32+MOD(INT(MOD(INT((AG38)/65536),256)/2^6),2)*MOD(INT(MOD(INT((AI38)/65536),256)/2^6),2)*64+MOD(INT(MOD(INT((AG38)/65536),256)/2^7),2)*MOD(INT(MOD(INT((AI38)/65536),256)/2^7),2)*128)*65536+(MOD(INT(MOD(INT((AG38)/16777216),256)/2^0),2)*MOD(INT(MOD(INT((AI38)/16777216),256)/2^0),2)*1+MOD(INT(MOD(INT((AG38)/16777216),256)/2^1),2)*MOD(INT(MOD(INT((AI38)/16777216),256)/2^1),2)*2+MOD(INT(MOD(INT((AG38)/16777216),256)/2^2),2)*MOD(INT(MOD(INT((AI38)/16777216),256)/2^2),2)*4+MOD(INT(MOD(INT((AG38)/16777216),256)/2^3),2)*MOD(INT(MOD(INT((AI38)/16777216),256)/2^3),2)*8+MOD(INT(MOD(INT((AG38)/16777216),256)/2^4),2)*MOD(INT(MOD(INT((AI38)/16777216),256)/2^4),2)*16+MOD(INT(MOD(INT((AG38)/16777216),256)/2^5),2)*MOD(INT(MOD(INT((AI38)/16777216),256)/2^5),2)*32+MOD(INT(MOD(INT((AG38)/16777216),256)/2^6),2)*MOD(INT(MOD(INT((AI38)/16777216),256)/2^6),2)*64+MOD(INT(MOD(INT((AG38)/16777216),256)/2^7),2)*MOD(INT(MOD(INT((AI38)/16777216),256)/2^7),2)*128)*16777216)</f>
        <v>536904722</v>
      </c>
      <c r="AN38" s="24">
        <f t="shared" ref="AN38:AN69" si="104">((MOD(INT(MOD(INT((AH38)/1),256)/2^0),2)*MOD(INT(MOD(INT((AJ38)/1),256)/2^0),2)*1+MOD(INT(MOD(INT((AH38)/1),256)/2^1),2)*MOD(INT(MOD(INT((AJ38)/1),256)/2^1),2)*2+MOD(INT(MOD(INT((AH38)/1),256)/2^2),2)*MOD(INT(MOD(INT((AJ38)/1),256)/2^2),2)*4+MOD(INT(MOD(INT((AH38)/1),256)/2^3),2)*MOD(INT(MOD(INT((AJ38)/1),256)/2^3),2)*8+MOD(INT(MOD(INT((AH38)/1),256)/2^4),2)*MOD(INT(MOD(INT((AJ38)/1),256)/2^4),2)*16+MOD(INT(MOD(INT((AH38)/1),256)/2^5),2)*MOD(INT(MOD(INT((AJ38)/1),256)/2^5),2)*32+MOD(INT(MOD(INT((AH38)/1),256)/2^6),2)*MOD(INT(MOD(INT((AJ38)/1),256)/2^6),2)*64+MOD(INT(MOD(INT((AH38)/1),256)/2^7),2)*MOD(INT(MOD(INT((AJ38)/1),256)/2^7),2)*128)*1+(MOD(INT(MOD(INT((AH38)/256),256)/2^0),2)*MOD(INT(MOD(INT((AJ38)/256),256)/2^0),2)*1+MOD(INT(MOD(INT((AH38)/256),256)/2^1),2)*MOD(INT(MOD(INT((AJ38)/256),256)/2^1),2)*2+MOD(INT(MOD(INT((AH38)/256),256)/2^2),2)*MOD(INT(MOD(INT((AJ38)/256),256)/2^2),2)*4+MOD(INT(MOD(INT((AH38)/256),256)/2^3),2)*MOD(INT(MOD(INT((AJ38)/256),256)/2^3),2)*8+MOD(INT(MOD(INT((AH38)/256),256)/2^4),2)*MOD(INT(MOD(INT((AJ38)/256),256)/2^4),2)*16+MOD(INT(MOD(INT((AH38)/256),256)/2^5),2)*MOD(INT(MOD(INT((AJ38)/256),256)/2^5),2)*32+MOD(INT(MOD(INT((AH38)/256),256)/2^6),2)*MOD(INT(MOD(INT((AJ38)/256),256)/2^6),2)*64+MOD(INT(MOD(INT((AH38)/256),256)/2^7),2)*MOD(INT(MOD(INT((AJ38)/256),256)/2^7),2)*128)*256+(MOD(INT(MOD(INT((AH38)/65536),256)/2^0),2)*MOD(INT(MOD(INT((AJ38)/65536),256)/2^0),2)*1+MOD(INT(MOD(INT((AH38)/65536),256)/2^1),2)*MOD(INT(MOD(INT((AJ38)/65536),256)/2^1),2)*2+MOD(INT(MOD(INT((AH38)/65536),256)/2^2),2)*MOD(INT(MOD(INT((AJ38)/65536),256)/2^2),2)*4+MOD(INT(MOD(INT((AH38)/65536),256)/2^3),2)*MOD(INT(MOD(INT((AJ38)/65536),256)/2^3),2)*8+MOD(INT(MOD(INT((AH38)/65536),256)/2^4),2)*MOD(INT(MOD(INT((AJ38)/65536),256)/2^4),2)*16+MOD(INT(MOD(INT((AH38)/65536),256)/2^5),2)*MOD(INT(MOD(INT((AJ38)/65536),256)/2^5),2)*32+MOD(INT(MOD(INT((AH38)/65536),256)/2^6),2)*MOD(INT(MOD(INT((AJ38)/65536),256)/2^6),2)*64+MOD(INT(MOD(INT((AH38)/65536),256)/2^7),2)*MOD(INT(MOD(INT((AJ38)/65536),256)/2^7),2)*128)*65536+(MOD(INT(MOD(INT((AH38)/16777216),256)/2^0),2)*MOD(INT(MOD(INT((AJ38)/16777216),256)/2^0),2)*1+MOD(INT(MOD(INT((AH38)/16777216),256)/2^1),2)*MOD(INT(MOD(INT((AJ38)/16777216),256)/2^1),2)*2+MOD(INT(MOD(INT((AH38)/16777216),256)/2^2),2)*MOD(INT(MOD(INT((AJ38)/16777216),256)/2^2),2)*4+MOD(INT(MOD(INT((AH38)/16777216),256)/2^3),2)*MOD(INT(MOD(INT((AJ38)/16777216),256)/2^3),2)*8+MOD(INT(MOD(INT((AH38)/16777216),256)/2^4),2)*MOD(INT(MOD(INT((AJ38)/16777216),256)/2^4),2)*16+MOD(INT(MOD(INT((AH38)/16777216),256)/2^5),2)*MOD(INT(MOD(INT((AJ38)/16777216),256)/2^5),2)*32+MOD(INT(MOD(INT((AH38)/16777216),256)/2^6),2)*MOD(INT(MOD(INT((AJ38)/16777216),256)/2^6),2)*64+MOD(INT(MOD(INT((AH38)/16777216),256)/2^7),2)*MOD(INT(MOD(INT((AJ38)/16777216),256)/2^7),2)*128)*16777216)</f>
        <v>1247870976</v>
      </c>
      <c r="AO38" s="24">
        <f t="shared" ref="AO38:AO69" si="105">MOD(AG38+AI38-2*AM38,4294967296)</f>
        <v>3657005792</v>
      </c>
      <c r="AP38" s="24">
        <f t="shared" ref="AP38:AP69" si="106">MOD(AH38+AJ38-2*AN38,4294967296)</f>
        <v>3046813167</v>
      </c>
      <c r="AQ38" s="24">
        <f t="shared" ref="AQ38:AQ69" si="107">((MOD(INT(MOD(INT((AO38)/1),256)/2^0),2)*MOD(INT(MOD(INT((AK38)/1),256)/2^0),2)*1+MOD(INT(MOD(INT((AO38)/1),256)/2^1),2)*MOD(INT(MOD(INT((AK38)/1),256)/2^1),2)*2+MOD(INT(MOD(INT((AO38)/1),256)/2^2),2)*MOD(INT(MOD(INT((AK38)/1),256)/2^2),2)*4+MOD(INT(MOD(INT((AO38)/1),256)/2^3),2)*MOD(INT(MOD(INT((AK38)/1),256)/2^3),2)*8+MOD(INT(MOD(INT((AO38)/1),256)/2^4),2)*MOD(INT(MOD(INT((AK38)/1),256)/2^4),2)*16+MOD(INT(MOD(INT((AO38)/1),256)/2^5),2)*MOD(INT(MOD(INT((AK38)/1),256)/2^5),2)*32+MOD(INT(MOD(INT((AO38)/1),256)/2^6),2)*MOD(INT(MOD(INT((AK38)/1),256)/2^6),2)*64+MOD(INT(MOD(INT((AO38)/1),256)/2^7),2)*MOD(INT(MOD(INT((AK38)/1),256)/2^7),2)*128)*1+(MOD(INT(MOD(INT((AO38)/256),256)/2^0),2)*MOD(INT(MOD(INT((AK38)/256),256)/2^0),2)*1+MOD(INT(MOD(INT((AO38)/256),256)/2^1),2)*MOD(INT(MOD(INT((AK38)/256),256)/2^1),2)*2+MOD(INT(MOD(INT((AO38)/256),256)/2^2),2)*MOD(INT(MOD(INT((AK38)/256),256)/2^2),2)*4+MOD(INT(MOD(INT((AO38)/256),256)/2^3),2)*MOD(INT(MOD(INT((AK38)/256),256)/2^3),2)*8+MOD(INT(MOD(INT((AO38)/256),256)/2^4),2)*MOD(INT(MOD(INT((AK38)/256),256)/2^4),2)*16+MOD(INT(MOD(INT((AO38)/256),256)/2^5),2)*MOD(INT(MOD(INT((AK38)/256),256)/2^5),2)*32+MOD(INT(MOD(INT((AO38)/256),256)/2^6),2)*MOD(INT(MOD(INT((AK38)/256),256)/2^6),2)*64+MOD(INT(MOD(INT((AO38)/256),256)/2^7),2)*MOD(INT(MOD(INT((AK38)/256),256)/2^7),2)*128)*256+(MOD(INT(MOD(INT((AO38)/65536),256)/2^0),2)*MOD(INT(MOD(INT((AK38)/65536),256)/2^0),2)*1+MOD(INT(MOD(INT((AO38)/65536),256)/2^1),2)*MOD(INT(MOD(INT((AK38)/65536),256)/2^1),2)*2+MOD(INT(MOD(INT((AO38)/65536),256)/2^2),2)*MOD(INT(MOD(INT((AK38)/65536),256)/2^2),2)*4+MOD(INT(MOD(INT((AO38)/65536),256)/2^3),2)*MOD(INT(MOD(INT((AK38)/65536),256)/2^3),2)*8+MOD(INT(MOD(INT((AO38)/65536),256)/2^4),2)*MOD(INT(MOD(INT((AK38)/65536),256)/2^4),2)*16+MOD(INT(MOD(INT((AO38)/65536),256)/2^5),2)*MOD(INT(MOD(INT((AK38)/65536),256)/2^5),2)*32+MOD(INT(MOD(INT((AO38)/65536),256)/2^6),2)*MOD(INT(MOD(INT((AK38)/65536),256)/2^6),2)*64+MOD(INT(MOD(INT((AO38)/65536),256)/2^7),2)*MOD(INT(MOD(INT((AK38)/65536),256)/2^7),2)*128)*65536+(MOD(INT(MOD(INT((AO38)/16777216),256)/2^0),2)*MOD(INT(MOD(INT((AK38)/16777216),256)/2^0),2)*1+MOD(INT(MOD(INT((AO38)/16777216),256)/2^1),2)*MOD(INT(MOD(INT((AK38)/16777216),256)/2^1),2)*2+MOD(INT(MOD(INT((AO38)/16777216),256)/2^2),2)*MOD(INT(MOD(INT((AK38)/16777216),256)/2^2),2)*4+MOD(INT(MOD(INT((AO38)/16777216),256)/2^3),2)*MOD(INT(MOD(INT((AK38)/16777216),256)/2^3),2)*8+MOD(INT(MOD(INT((AO38)/16777216),256)/2^4),2)*MOD(INT(MOD(INT((AK38)/16777216),256)/2^4),2)*16+MOD(INT(MOD(INT((AO38)/16777216),256)/2^5),2)*MOD(INT(MOD(INT((AK38)/16777216),256)/2^5),2)*32+MOD(INT(MOD(INT((AO38)/16777216),256)/2^6),2)*MOD(INT(MOD(INT((AK38)/16777216),256)/2^6),2)*64+MOD(INT(MOD(INT((AO38)/16777216),256)/2^7),2)*MOD(INT(MOD(INT((AK38)/16777216),256)/2^7),2)*128)*16777216)</f>
        <v>155714080</v>
      </c>
      <c r="AR38" s="24">
        <f t="shared" ref="AR38:AR69" si="108">((MOD(INT(MOD(INT((AP38)/1),256)/2^0),2)*MOD(INT(MOD(INT((AL38)/1),256)/2^0),2)*1+MOD(INT(MOD(INT((AP38)/1),256)/2^1),2)*MOD(INT(MOD(INT((AL38)/1),256)/2^1),2)*2+MOD(INT(MOD(INT((AP38)/1),256)/2^2),2)*MOD(INT(MOD(INT((AL38)/1),256)/2^2),2)*4+MOD(INT(MOD(INT((AP38)/1),256)/2^3),2)*MOD(INT(MOD(INT((AL38)/1),256)/2^3),2)*8+MOD(INT(MOD(INT((AP38)/1),256)/2^4),2)*MOD(INT(MOD(INT((AL38)/1),256)/2^4),2)*16+MOD(INT(MOD(INT((AP38)/1),256)/2^5),2)*MOD(INT(MOD(INT((AL38)/1),256)/2^5),2)*32+MOD(INT(MOD(INT((AP38)/1),256)/2^6),2)*MOD(INT(MOD(INT((AL38)/1),256)/2^6),2)*64+MOD(INT(MOD(INT((AP38)/1),256)/2^7),2)*MOD(INT(MOD(INT((AL38)/1),256)/2^7),2)*128)*1+(MOD(INT(MOD(INT((AP38)/256),256)/2^0),2)*MOD(INT(MOD(INT((AL38)/256),256)/2^0),2)*1+MOD(INT(MOD(INT((AP38)/256),256)/2^1),2)*MOD(INT(MOD(INT((AL38)/256),256)/2^1),2)*2+MOD(INT(MOD(INT((AP38)/256),256)/2^2),2)*MOD(INT(MOD(INT((AL38)/256),256)/2^2),2)*4+MOD(INT(MOD(INT((AP38)/256),256)/2^3),2)*MOD(INT(MOD(INT((AL38)/256),256)/2^3),2)*8+MOD(INT(MOD(INT((AP38)/256),256)/2^4),2)*MOD(INT(MOD(INT((AL38)/256),256)/2^4),2)*16+MOD(INT(MOD(INT((AP38)/256),256)/2^5),2)*MOD(INT(MOD(INT((AL38)/256),256)/2^5),2)*32+MOD(INT(MOD(INT((AP38)/256),256)/2^6),2)*MOD(INT(MOD(INT((AL38)/256),256)/2^6),2)*64+MOD(INT(MOD(INT((AP38)/256),256)/2^7),2)*MOD(INT(MOD(INT((AL38)/256),256)/2^7),2)*128)*256+(MOD(INT(MOD(INT((AP38)/65536),256)/2^0),2)*MOD(INT(MOD(INT((AL38)/65536),256)/2^0),2)*1+MOD(INT(MOD(INT((AP38)/65536),256)/2^1),2)*MOD(INT(MOD(INT((AL38)/65536),256)/2^1),2)*2+MOD(INT(MOD(INT((AP38)/65536),256)/2^2),2)*MOD(INT(MOD(INT((AL38)/65536),256)/2^2),2)*4+MOD(INT(MOD(INT((AP38)/65536),256)/2^3),2)*MOD(INT(MOD(INT((AL38)/65536),256)/2^3),2)*8+MOD(INT(MOD(INT((AP38)/65536),256)/2^4),2)*MOD(INT(MOD(INT((AL38)/65536),256)/2^4),2)*16+MOD(INT(MOD(INT((AP38)/65536),256)/2^5),2)*MOD(INT(MOD(INT((AL38)/65536),256)/2^5),2)*32+MOD(INT(MOD(INT((AP38)/65536),256)/2^6),2)*MOD(INT(MOD(INT((AL38)/65536),256)/2^6),2)*64+MOD(INT(MOD(INT((AP38)/65536),256)/2^7),2)*MOD(INT(MOD(INT((AL38)/65536),256)/2^7),2)*128)*65536+(MOD(INT(MOD(INT((AP38)/16777216),256)/2^0),2)*MOD(INT(MOD(INT((AL38)/16777216),256)/2^0),2)*1+MOD(INT(MOD(INT((AP38)/16777216),256)/2^1),2)*MOD(INT(MOD(INT((AL38)/16777216),256)/2^1),2)*2+MOD(INT(MOD(INT((AP38)/16777216),256)/2^2),2)*MOD(INT(MOD(INT((AL38)/16777216),256)/2^2),2)*4+MOD(INT(MOD(INT((AP38)/16777216),256)/2^3),2)*MOD(INT(MOD(INT((AL38)/16777216),256)/2^3),2)*8+MOD(INT(MOD(INT((AP38)/16777216),256)/2^4),2)*MOD(INT(MOD(INT((AL38)/16777216),256)/2^4),2)*16+MOD(INT(MOD(INT((AP38)/16777216),256)/2^5),2)*MOD(INT(MOD(INT((AL38)/16777216),256)/2^5),2)*32+MOD(INT(MOD(INT((AP38)/16777216),256)/2^6),2)*MOD(INT(MOD(INT((AL38)/16777216),256)/2^6),2)*64+MOD(INT(MOD(INT((AP38)/16777216),256)/2^7),2)*MOD(INT(MOD(INT((AL38)/16777216),256)/2^7),2)*128)*16777216)</f>
        <v>2417658980</v>
      </c>
      <c r="AS38" s="24">
        <f t="shared" ref="AS38:AS69" si="109">MOD(AO38+AK38-2*AQ38,4294967296)</f>
        <v>4105666003</v>
      </c>
      <c r="AT38" s="24">
        <f t="shared" ref="AT38:AT69" si="110">MOD(AP38+AL38-2*AR38,4294967296)</f>
        <v>667246987</v>
      </c>
      <c r="AU38" s="24">
        <f t="shared" ref="AU38:AU69" si="111">((MOD(INT(MOD(INT((K37)/1),256)/2^0),2)*MOD(INT(MOD(INT((M37)/1),256)/2^0),2)*1+MOD(INT(MOD(INT((K37)/1),256)/2^1),2)*MOD(INT(MOD(INT((M37)/1),256)/2^1),2)*2+MOD(INT(MOD(INT((K37)/1),256)/2^2),2)*MOD(INT(MOD(INT((M37)/1),256)/2^2),2)*4+MOD(INT(MOD(INT((K37)/1),256)/2^3),2)*MOD(INT(MOD(INT((M37)/1),256)/2^3),2)*8+MOD(INT(MOD(INT((K37)/1),256)/2^4),2)*MOD(INT(MOD(INT((M37)/1),256)/2^4),2)*16+MOD(INT(MOD(INT((K37)/1),256)/2^5),2)*MOD(INT(MOD(INT((M37)/1),256)/2^5),2)*32+MOD(INT(MOD(INT((K37)/1),256)/2^6),2)*MOD(INT(MOD(INT((M37)/1),256)/2^6),2)*64+MOD(INT(MOD(INT((K37)/1),256)/2^7),2)*MOD(INT(MOD(INT((M37)/1),256)/2^7),2)*128)*1+(MOD(INT(MOD(INT((K37)/256),256)/2^0),2)*MOD(INT(MOD(INT((M37)/256),256)/2^0),2)*1+MOD(INT(MOD(INT((K37)/256),256)/2^1),2)*MOD(INT(MOD(INT((M37)/256),256)/2^1),2)*2+MOD(INT(MOD(INT((K37)/256),256)/2^2),2)*MOD(INT(MOD(INT((M37)/256),256)/2^2),2)*4+MOD(INT(MOD(INT((K37)/256),256)/2^3),2)*MOD(INT(MOD(INT((M37)/256),256)/2^3),2)*8+MOD(INT(MOD(INT((K37)/256),256)/2^4),2)*MOD(INT(MOD(INT((M37)/256),256)/2^4),2)*16+MOD(INT(MOD(INT((K37)/256),256)/2^5),2)*MOD(INT(MOD(INT((M37)/256),256)/2^5),2)*32+MOD(INT(MOD(INT((K37)/256),256)/2^6),2)*MOD(INT(MOD(INT((M37)/256),256)/2^6),2)*64+MOD(INT(MOD(INT((K37)/256),256)/2^7),2)*MOD(INT(MOD(INT((M37)/256),256)/2^7),2)*128)*256+(MOD(INT(MOD(INT((K37)/65536),256)/2^0),2)*MOD(INT(MOD(INT((M37)/65536),256)/2^0),2)*1+MOD(INT(MOD(INT((K37)/65536),256)/2^1),2)*MOD(INT(MOD(INT((M37)/65536),256)/2^1),2)*2+MOD(INT(MOD(INT((K37)/65536),256)/2^2),2)*MOD(INT(MOD(INT((M37)/65536),256)/2^2),2)*4+MOD(INT(MOD(INT((K37)/65536),256)/2^3),2)*MOD(INT(MOD(INT((M37)/65536),256)/2^3),2)*8+MOD(INT(MOD(INT((K37)/65536),256)/2^4),2)*MOD(INT(MOD(INT((M37)/65536),256)/2^4),2)*16+MOD(INT(MOD(INT((K37)/65536),256)/2^5),2)*MOD(INT(MOD(INT((M37)/65536),256)/2^5),2)*32+MOD(INT(MOD(INT((K37)/65536),256)/2^6),2)*MOD(INT(MOD(INT((M37)/65536),256)/2^6),2)*64+MOD(INT(MOD(INT((K37)/65536),256)/2^7),2)*MOD(INT(MOD(INT((M37)/65536),256)/2^7),2)*128)*65536+(MOD(INT(MOD(INT((K37)/16777216),256)/2^0),2)*MOD(INT(MOD(INT((M37)/16777216),256)/2^0),2)*1+MOD(INT(MOD(INT((K37)/16777216),256)/2^1),2)*MOD(INT(MOD(INT((M37)/16777216),256)/2^1),2)*2+MOD(INT(MOD(INT((K37)/16777216),256)/2^2),2)*MOD(INT(MOD(INT((M37)/16777216),256)/2^2),2)*4+MOD(INT(MOD(INT((K37)/16777216),256)/2^3),2)*MOD(INT(MOD(INT((M37)/16777216),256)/2^3),2)*8+MOD(INT(MOD(INT((K37)/16777216),256)/2^4),2)*MOD(INT(MOD(INT((M37)/16777216),256)/2^4),2)*16+MOD(INT(MOD(INT((K37)/16777216),256)/2^5),2)*MOD(INT(MOD(INT((M37)/16777216),256)/2^5),2)*32+MOD(INT(MOD(INT((K37)/16777216),256)/2^6),2)*MOD(INT(MOD(INT((M37)/16777216),256)/2^6),2)*64+MOD(INT(MOD(INT((K37)/16777216),256)/2^7),2)*MOD(INT(MOD(INT((M37)/16777216),256)/2^7),2)*128)*16777216)</f>
        <v>3310406</v>
      </c>
      <c r="AV38" s="24">
        <f t="shared" ref="AV38:AV69" si="112">((MOD(INT(MOD(INT((L37)/1),256)/2^0),2)*MOD(INT(MOD(INT((N37)/1),256)/2^0),2)*1+MOD(INT(MOD(INT((L37)/1),256)/2^1),2)*MOD(INT(MOD(INT((N37)/1),256)/2^1),2)*2+MOD(INT(MOD(INT((L37)/1),256)/2^2),2)*MOD(INT(MOD(INT((N37)/1),256)/2^2),2)*4+MOD(INT(MOD(INT((L37)/1),256)/2^3),2)*MOD(INT(MOD(INT((N37)/1),256)/2^3),2)*8+MOD(INT(MOD(INT((L37)/1),256)/2^4),2)*MOD(INT(MOD(INT((N37)/1),256)/2^4),2)*16+MOD(INT(MOD(INT((L37)/1),256)/2^5),2)*MOD(INT(MOD(INT((N37)/1),256)/2^5),2)*32+MOD(INT(MOD(INT((L37)/1),256)/2^6),2)*MOD(INT(MOD(INT((N37)/1),256)/2^6),2)*64+MOD(INT(MOD(INT((L37)/1),256)/2^7),2)*MOD(INT(MOD(INT((N37)/1),256)/2^7),2)*128)*1+(MOD(INT(MOD(INT((L37)/256),256)/2^0),2)*MOD(INT(MOD(INT((N37)/256),256)/2^0),2)*1+MOD(INT(MOD(INT((L37)/256),256)/2^1),2)*MOD(INT(MOD(INT((N37)/256),256)/2^1),2)*2+MOD(INT(MOD(INT((L37)/256),256)/2^2),2)*MOD(INT(MOD(INT((N37)/256),256)/2^2),2)*4+MOD(INT(MOD(INT((L37)/256),256)/2^3),2)*MOD(INT(MOD(INT((N37)/256),256)/2^3),2)*8+MOD(INT(MOD(INT((L37)/256),256)/2^4),2)*MOD(INT(MOD(INT((N37)/256),256)/2^4),2)*16+MOD(INT(MOD(INT((L37)/256),256)/2^5),2)*MOD(INT(MOD(INT((N37)/256),256)/2^5),2)*32+MOD(INT(MOD(INT((L37)/256),256)/2^6),2)*MOD(INT(MOD(INT((N37)/256),256)/2^6),2)*64+MOD(INT(MOD(INT((L37)/256),256)/2^7),2)*MOD(INT(MOD(INT((N37)/256),256)/2^7),2)*128)*256+(MOD(INT(MOD(INT((L37)/65536),256)/2^0),2)*MOD(INT(MOD(INT((N37)/65536),256)/2^0),2)*1+MOD(INT(MOD(INT((L37)/65536),256)/2^1),2)*MOD(INT(MOD(INT((N37)/65536),256)/2^1),2)*2+MOD(INT(MOD(INT((L37)/65536),256)/2^2),2)*MOD(INT(MOD(INT((N37)/65536),256)/2^2),2)*4+MOD(INT(MOD(INT((L37)/65536),256)/2^3),2)*MOD(INT(MOD(INT((N37)/65536),256)/2^3),2)*8+MOD(INT(MOD(INT((L37)/65536),256)/2^4),2)*MOD(INT(MOD(INT((N37)/65536),256)/2^4),2)*16+MOD(INT(MOD(INT((L37)/65536),256)/2^5),2)*MOD(INT(MOD(INT((N37)/65536),256)/2^5),2)*32+MOD(INT(MOD(INT((L37)/65536),256)/2^6),2)*MOD(INT(MOD(INT((N37)/65536),256)/2^6),2)*64+MOD(INT(MOD(INT((L37)/65536),256)/2^7),2)*MOD(INT(MOD(INT((N37)/65536),256)/2^7),2)*128)*65536+(MOD(INT(MOD(INT((L37)/16777216),256)/2^0),2)*MOD(INT(MOD(INT((N37)/16777216),256)/2^0),2)*1+MOD(INT(MOD(INT((L37)/16777216),256)/2^1),2)*MOD(INT(MOD(INT((N37)/16777216),256)/2^1),2)*2+MOD(INT(MOD(INT((L37)/16777216),256)/2^2),2)*MOD(INT(MOD(INT((N37)/16777216),256)/2^2),2)*4+MOD(INT(MOD(INT((L37)/16777216),256)/2^3),2)*MOD(INT(MOD(INT((N37)/16777216),256)/2^3),2)*8+MOD(INT(MOD(INT((L37)/16777216),256)/2^4),2)*MOD(INT(MOD(INT((N37)/16777216),256)/2^4),2)*16+MOD(INT(MOD(INT((L37)/16777216),256)/2^5),2)*MOD(INT(MOD(INT((N37)/16777216),256)/2^5),2)*32+MOD(INT(MOD(INT((L37)/16777216),256)/2^6),2)*MOD(INT(MOD(INT((N37)/16777216),256)/2^6),2)*64+MOD(INT(MOD(INT((L37)/16777216),256)/2^7),2)*MOD(INT(MOD(INT((N37)/16777216),256)/2^7),2)*128)*16777216)</f>
        <v>437724360</v>
      </c>
      <c r="AW38" s="24">
        <f t="shared" ref="AW38:AW69" si="113">((MOD(INT(MOD(INT(((4294967295-K37))/1),256)/2^0),2)*MOD(INT(MOD(INT((O37)/1),256)/2^0),2)*1+MOD(INT(MOD(INT(((4294967295-K37))/1),256)/2^1),2)*MOD(INT(MOD(INT((O37)/1),256)/2^1),2)*2+MOD(INT(MOD(INT(((4294967295-K37))/1),256)/2^2),2)*MOD(INT(MOD(INT((O37)/1),256)/2^2),2)*4+MOD(INT(MOD(INT(((4294967295-K37))/1),256)/2^3),2)*MOD(INT(MOD(INT((O37)/1),256)/2^3),2)*8+MOD(INT(MOD(INT(((4294967295-K37))/1),256)/2^4),2)*MOD(INT(MOD(INT((O37)/1),256)/2^4),2)*16+MOD(INT(MOD(INT(((4294967295-K37))/1),256)/2^5),2)*MOD(INT(MOD(INT((O37)/1),256)/2^5),2)*32+MOD(INT(MOD(INT(((4294967295-K37))/1),256)/2^6),2)*MOD(INT(MOD(INT((O37)/1),256)/2^6),2)*64+MOD(INT(MOD(INT(((4294967295-K37))/1),256)/2^7),2)*MOD(INT(MOD(INT((O37)/1),256)/2^7),2)*128)*1+(MOD(INT(MOD(INT(((4294967295-K37))/256),256)/2^0),2)*MOD(INT(MOD(INT((O37)/256),256)/2^0),2)*1+MOD(INT(MOD(INT(((4294967295-K37))/256),256)/2^1),2)*MOD(INT(MOD(INT((O37)/256),256)/2^1),2)*2+MOD(INT(MOD(INT(((4294967295-K37))/256),256)/2^2),2)*MOD(INT(MOD(INT((O37)/256),256)/2^2),2)*4+MOD(INT(MOD(INT(((4294967295-K37))/256),256)/2^3),2)*MOD(INT(MOD(INT((O37)/256),256)/2^3),2)*8+MOD(INT(MOD(INT(((4294967295-K37))/256),256)/2^4),2)*MOD(INT(MOD(INT((O37)/256),256)/2^4),2)*16+MOD(INT(MOD(INT(((4294967295-K37))/256),256)/2^5),2)*MOD(INT(MOD(INT((O37)/256),256)/2^5),2)*32+MOD(INT(MOD(INT(((4294967295-K37))/256),256)/2^6),2)*MOD(INT(MOD(INT((O37)/256),256)/2^6),2)*64+MOD(INT(MOD(INT(((4294967295-K37))/256),256)/2^7),2)*MOD(INT(MOD(INT((O37)/256),256)/2^7),2)*128)*256+(MOD(INT(MOD(INT(((4294967295-K37))/65536),256)/2^0),2)*MOD(INT(MOD(INT((O37)/65536),256)/2^0),2)*1+MOD(INT(MOD(INT(((4294967295-K37))/65536),256)/2^1),2)*MOD(INT(MOD(INT((O37)/65536),256)/2^1),2)*2+MOD(INT(MOD(INT(((4294967295-K37))/65536),256)/2^2),2)*MOD(INT(MOD(INT((O37)/65536),256)/2^2),2)*4+MOD(INT(MOD(INT(((4294967295-K37))/65536),256)/2^3),2)*MOD(INT(MOD(INT((O37)/65536),256)/2^3),2)*8+MOD(INT(MOD(INT(((4294967295-K37))/65536),256)/2^4),2)*MOD(INT(MOD(INT((O37)/65536),256)/2^4),2)*16+MOD(INT(MOD(INT(((4294967295-K37))/65536),256)/2^5),2)*MOD(INT(MOD(INT((O37)/65536),256)/2^5),2)*32+MOD(INT(MOD(INT(((4294967295-K37))/65536),256)/2^6),2)*MOD(INT(MOD(INT((O37)/65536),256)/2^6),2)*64+MOD(INT(MOD(INT(((4294967295-K37))/65536),256)/2^7),2)*MOD(INT(MOD(INT((O37)/65536),256)/2^7),2)*128)*65536+(MOD(INT(MOD(INT(((4294967295-K37))/16777216),256)/2^0),2)*MOD(INT(MOD(INT((O37)/16777216),256)/2^0),2)*1+MOD(INT(MOD(INT(((4294967295-K37))/16777216),256)/2^1),2)*MOD(INT(MOD(INT((O37)/16777216),256)/2^1),2)*2+MOD(INT(MOD(INT(((4294967295-K37))/16777216),256)/2^2),2)*MOD(INT(MOD(INT((O37)/16777216),256)/2^2),2)*4+MOD(INT(MOD(INT(((4294967295-K37))/16777216),256)/2^3),2)*MOD(INT(MOD(INT((O37)/16777216),256)/2^3),2)*8+MOD(INT(MOD(INT(((4294967295-K37))/16777216),256)/2^4),2)*MOD(INT(MOD(INT((O37)/16777216),256)/2^4),2)*16+MOD(INT(MOD(INT(((4294967295-K37))/16777216),256)/2^5),2)*MOD(INT(MOD(INT((O37)/16777216),256)/2^5),2)*32+MOD(INT(MOD(INT(((4294967295-K37))/16777216),256)/2^6),2)*MOD(INT(MOD(INT((O37)/16777216),256)/2^6),2)*64+MOD(INT(MOD(INT(((4294967295-K37))/16777216),256)/2^7),2)*MOD(INT(MOD(INT((O37)/16777216),256)/2^7),2)*128)*16777216)</f>
        <v>1275350057</v>
      </c>
      <c r="AX38" s="24">
        <f t="shared" ref="AX38:AX69" si="114">((MOD(INT(MOD(INT(((4294967295-L37))/1),256)/2^0),2)*MOD(INT(MOD(INT((P37)/1),256)/2^0),2)*1+MOD(INT(MOD(INT(((4294967295-L37))/1),256)/2^1),2)*MOD(INT(MOD(INT((P37)/1),256)/2^1),2)*2+MOD(INT(MOD(INT(((4294967295-L37))/1),256)/2^2),2)*MOD(INT(MOD(INT((P37)/1),256)/2^2),2)*4+MOD(INT(MOD(INT(((4294967295-L37))/1),256)/2^3),2)*MOD(INT(MOD(INT((P37)/1),256)/2^3),2)*8+MOD(INT(MOD(INT(((4294967295-L37))/1),256)/2^4),2)*MOD(INT(MOD(INT((P37)/1),256)/2^4),2)*16+MOD(INT(MOD(INT(((4294967295-L37))/1),256)/2^5),2)*MOD(INT(MOD(INT((P37)/1),256)/2^5),2)*32+MOD(INT(MOD(INT(((4294967295-L37))/1),256)/2^6),2)*MOD(INT(MOD(INT((P37)/1),256)/2^6),2)*64+MOD(INT(MOD(INT(((4294967295-L37))/1),256)/2^7),2)*MOD(INT(MOD(INT((P37)/1),256)/2^7),2)*128)*1+(MOD(INT(MOD(INT(((4294967295-L37))/256),256)/2^0),2)*MOD(INT(MOD(INT((P37)/256),256)/2^0),2)*1+MOD(INT(MOD(INT(((4294967295-L37))/256),256)/2^1),2)*MOD(INT(MOD(INT((P37)/256),256)/2^1),2)*2+MOD(INT(MOD(INT(((4294967295-L37))/256),256)/2^2),2)*MOD(INT(MOD(INT((P37)/256),256)/2^2),2)*4+MOD(INT(MOD(INT(((4294967295-L37))/256),256)/2^3),2)*MOD(INT(MOD(INT((P37)/256),256)/2^3),2)*8+MOD(INT(MOD(INT(((4294967295-L37))/256),256)/2^4),2)*MOD(INT(MOD(INT((P37)/256),256)/2^4),2)*16+MOD(INT(MOD(INT(((4294967295-L37))/256),256)/2^5),2)*MOD(INT(MOD(INT((P37)/256),256)/2^5),2)*32+MOD(INT(MOD(INT(((4294967295-L37))/256),256)/2^6),2)*MOD(INT(MOD(INT((P37)/256),256)/2^6),2)*64+MOD(INT(MOD(INT(((4294967295-L37))/256),256)/2^7),2)*MOD(INT(MOD(INT((P37)/256),256)/2^7),2)*128)*256+(MOD(INT(MOD(INT(((4294967295-L37))/65536),256)/2^0),2)*MOD(INT(MOD(INT((P37)/65536),256)/2^0),2)*1+MOD(INT(MOD(INT(((4294967295-L37))/65536),256)/2^1),2)*MOD(INT(MOD(INT((P37)/65536),256)/2^1),2)*2+MOD(INT(MOD(INT(((4294967295-L37))/65536),256)/2^2),2)*MOD(INT(MOD(INT((P37)/65536),256)/2^2),2)*4+MOD(INT(MOD(INT(((4294967295-L37))/65536),256)/2^3),2)*MOD(INT(MOD(INT((P37)/65536),256)/2^3),2)*8+MOD(INT(MOD(INT(((4294967295-L37))/65536),256)/2^4),2)*MOD(INT(MOD(INT((P37)/65536),256)/2^4),2)*16+MOD(INT(MOD(INT(((4294967295-L37))/65536),256)/2^5),2)*MOD(INT(MOD(INT((P37)/65536),256)/2^5),2)*32+MOD(INT(MOD(INT(((4294967295-L37))/65536),256)/2^6),2)*MOD(INT(MOD(INT((P37)/65536),256)/2^6),2)*64+MOD(INT(MOD(INT(((4294967295-L37))/65536),256)/2^7),2)*MOD(INT(MOD(INT((P37)/65536),256)/2^7),2)*128)*65536+(MOD(INT(MOD(INT(((4294967295-L37))/16777216),256)/2^0),2)*MOD(INT(MOD(INT((P37)/16777216),256)/2^0),2)*1+MOD(INT(MOD(INT(((4294967295-L37))/16777216),256)/2^1),2)*MOD(INT(MOD(INT((P37)/16777216),256)/2^1),2)*2+MOD(INT(MOD(INT(((4294967295-L37))/16777216),256)/2^2),2)*MOD(INT(MOD(INT((P37)/16777216),256)/2^2),2)*4+MOD(INT(MOD(INT(((4294967295-L37))/16777216),256)/2^3),2)*MOD(INT(MOD(INT((P37)/16777216),256)/2^3),2)*8+MOD(INT(MOD(INT(((4294967295-L37))/16777216),256)/2^4),2)*MOD(INT(MOD(INT((P37)/16777216),256)/2^4),2)*16+MOD(INT(MOD(INT(((4294967295-L37))/16777216),256)/2^5),2)*MOD(INT(MOD(INT((P37)/16777216),256)/2^5),2)*32+MOD(INT(MOD(INT(((4294967295-L37))/16777216),256)/2^6),2)*MOD(INT(MOD(INT((P37)/16777216),256)/2^6),2)*64+MOD(INT(MOD(INT(((4294967295-L37))/16777216),256)/2^7),2)*MOD(INT(MOD(INT((P37)/16777216),256)/2^7),2)*128)*16777216)</f>
        <v>539508736</v>
      </c>
      <c r="BA38" s="24">
        <f t="shared" ref="BA38:BA69" si="115">MOD(AU38+AW38,4294967296)</f>
        <v>1278660463</v>
      </c>
      <c r="BB38" s="24">
        <f t="shared" ref="BB38:BB69" si="116">MOD(AV38+AX38,4294967296)</f>
        <v>977233096</v>
      </c>
      <c r="BC38" s="24">
        <f t="shared" ref="BC38:BC69" si="117">((MOD(INT(MOD(INT((C37)/1),256)/2^0),2)*MOD(INT(MOD(INT((E37)/1),256)/2^0),2)*1+MOD(INT(MOD(INT((C37)/1),256)/2^1),2)*MOD(INT(MOD(INT((E37)/1),256)/2^1),2)*2+MOD(INT(MOD(INT((C37)/1),256)/2^2),2)*MOD(INT(MOD(INT((E37)/1),256)/2^2),2)*4+MOD(INT(MOD(INT((C37)/1),256)/2^3),2)*MOD(INT(MOD(INT((E37)/1),256)/2^3),2)*8+MOD(INT(MOD(INT((C37)/1),256)/2^4),2)*MOD(INT(MOD(INT((E37)/1),256)/2^4),2)*16+MOD(INT(MOD(INT((C37)/1),256)/2^5),2)*MOD(INT(MOD(INT((E37)/1),256)/2^5),2)*32+MOD(INT(MOD(INT((C37)/1),256)/2^6),2)*MOD(INT(MOD(INT((E37)/1),256)/2^6),2)*64+MOD(INT(MOD(INT((C37)/1),256)/2^7),2)*MOD(INT(MOD(INT((E37)/1),256)/2^7),2)*128)*1+(MOD(INT(MOD(INT((C37)/256),256)/2^0),2)*MOD(INT(MOD(INT((E37)/256),256)/2^0),2)*1+MOD(INT(MOD(INT((C37)/256),256)/2^1),2)*MOD(INT(MOD(INT((E37)/256),256)/2^1),2)*2+MOD(INT(MOD(INT((C37)/256),256)/2^2),2)*MOD(INT(MOD(INT((E37)/256),256)/2^2),2)*4+MOD(INT(MOD(INT((C37)/256),256)/2^3),2)*MOD(INT(MOD(INT((E37)/256),256)/2^3),2)*8+MOD(INT(MOD(INT((C37)/256),256)/2^4),2)*MOD(INT(MOD(INT((E37)/256),256)/2^4),2)*16+MOD(INT(MOD(INT((C37)/256),256)/2^5),2)*MOD(INT(MOD(INT((E37)/256),256)/2^5),2)*32+MOD(INT(MOD(INT((C37)/256),256)/2^6),2)*MOD(INT(MOD(INT((E37)/256),256)/2^6),2)*64+MOD(INT(MOD(INT((C37)/256),256)/2^7),2)*MOD(INT(MOD(INT((E37)/256),256)/2^7),2)*128)*256+(MOD(INT(MOD(INT((C37)/65536),256)/2^0),2)*MOD(INT(MOD(INT((E37)/65536),256)/2^0),2)*1+MOD(INT(MOD(INT((C37)/65536),256)/2^1),2)*MOD(INT(MOD(INT((E37)/65536),256)/2^1),2)*2+MOD(INT(MOD(INT((C37)/65536),256)/2^2),2)*MOD(INT(MOD(INT((E37)/65536),256)/2^2),2)*4+MOD(INT(MOD(INT((C37)/65536),256)/2^3),2)*MOD(INT(MOD(INT((E37)/65536),256)/2^3),2)*8+MOD(INT(MOD(INT((C37)/65536),256)/2^4),2)*MOD(INT(MOD(INT((E37)/65536),256)/2^4),2)*16+MOD(INT(MOD(INT((C37)/65536),256)/2^5),2)*MOD(INT(MOD(INT((E37)/65536),256)/2^5),2)*32+MOD(INT(MOD(INT((C37)/65536),256)/2^6),2)*MOD(INT(MOD(INT((E37)/65536),256)/2^6),2)*64+MOD(INT(MOD(INT((C37)/65536),256)/2^7),2)*MOD(INT(MOD(INT((E37)/65536),256)/2^7),2)*128)*65536+(MOD(INT(MOD(INT((C37)/16777216),256)/2^0),2)*MOD(INT(MOD(INT((E37)/16777216),256)/2^0),2)*1+MOD(INT(MOD(INT((C37)/16777216),256)/2^1),2)*MOD(INT(MOD(INT((E37)/16777216),256)/2^1),2)*2+MOD(INT(MOD(INT((C37)/16777216),256)/2^2),2)*MOD(INT(MOD(INT((E37)/16777216),256)/2^2),2)*4+MOD(INT(MOD(INT((C37)/16777216),256)/2^3),2)*MOD(INT(MOD(INT((E37)/16777216),256)/2^3),2)*8+MOD(INT(MOD(INT((C37)/16777216),256)/2^4),2)*MOD(INT(MOD(INT((E37)/16777216),256)/2^4),2)*16+MOD(INT(MOD(INT((C37)/16777216),256)/2^5),2)*MOD(INT(MOD(INT((E37)/16777216),256)/2^5),2)*32+MOD(INT(MOD(INT((C37)/16777216),256)/2^6),2)*MOD(INT(MOD(INT((E37)/16777216),256)/2^6),2)*64+MOD(INT(MOD(INT((C37)/16777216),256)/2^7),2)*MOD(INT(MOD(INT((E37)/16777216),256)/2^7),2)*128)*16777216)</f>
        <v>262283782</v>
      </c>
      <c r="BD38" s="24">
        <f t="shared" ref="BD38:BD69" si="118">((MOD(INT(MOD(INT((D37)/1),256)/2^0),2)*MOD(INT(MOD(INT((F37)/1),256)/2^0),2)*1+MOD(INT(MOD(INT((D37)/1),256)/2^1),2)*MOD(INT(MOD(INT((F37)/1),256)/2^1),2)*2+MOD(INT(MOD(INT((D37)/1),256)/2^2),2)*MOD(INT(MOD(INT((F37)/1),256)/2^2),2)*4+MOD(INT(MOD(INT((D37)/1),256)/2^3),2)*MOD(INT(MOD(INT((F37)/1),256)/2^3),2)*8+MOD(INT(MOD(INT((D37)/1),256)/2^4),2)*MOD(INT(MOD(INT((F37)/1),256)/2^4),2)*16+MOD(INT(MOD(INT((D37)/1),256)/2^5),2)*MOD(INT(MOD(INT((F37)/1),256)/2^5),2)*32+MOD(INT(MOD(INT((D37)/1),256)/2^6),2)*MOD(INT(MOD(INT((F37)/1),256)/2^6),2)*64+MOD(INT(MOD(INT((D37)/1),256)/2^7),2)*MOD(INT(MOD(INT((F37)/1),256)/2^7),2)*128)*1+(MOD(INT(MOD(INT((D37)/256),256)/2^0),2)*MOD(INT(MOD(INT((F37)/256),256)/2^0),2)*1+MOD(INT(MOD(INT((D37)/256),256)/2^1),2)*MOD(INT(MOD(INT((F37)/256),256)/2^1),2)*2+MOD(INT(MOD(INT((D37)/256),256)/2^2),2)*MOD(INT(MOD(INT((F37)/256),256)/2^2),2)*4+MOD(INT(MOD(INT((D37)/256),256)/2^3),2)*MOD(INT(MOD(INT((F37)/256),256)/2^3),2)*8+MOD(INT(MOD(INT((D37)/256),256)/2^4),2)*MOD(INT(MOD(INT((F37)/256),256)/2^4),2)*16+MOD(INT(MOD(INT((D37)/256),256)/2^5),2)*MOD(INT(MOD(INT((F37)/256),256)/2^5),2)*32+MOD(INT(MOD(INT((D37)/256),256)/2^6),2)*MOD(INT(MOD(INT((F37)/256),256)/2^6),2)*64+MOD(INT(MOD(INT((D37)/256),256)/2^7),2)*MOD(INT(MOD(INT((F37)/256),256)/2^7),2)*128)*256+(MOD(INT(MOD(INT((D37)/65536),256)/2^0),2)*MOD(INT(MOD(INT((F37)/65536),256)/2^0),2)*1+MOD(INT(MOD(INT((D37)/65536),256)/2^1),2)*MOD(INT(MOD(INT((F37)/65536),256)/2^1),2)*2+MOD(INT(MOD(INT((D37)/65536),256)/2^2),2)*MOD(INT(MOD(INT((F37)/65536),256)/2^2),2)*4+MOD(INT(MOD(INT((D37)/65536),256)/2^3),2)*MOD(INT(MOD(INT((F37)/65536),256)/2^3),2)*8+MOD(INT(MOD(INT((D37)/65536),256)/2^4),2)*MOD(INT(MOD(INT((F37)/65536),256)/2^4),2)*16+MOD(INT(MOD(INT((D37)/65536),256)/2^5),2)*MOD(INT(MOD(INT((F37)/65536),256)/2^5),2)*32+MOD(INT(MOD(INT((D37)/65536),256)/2^6),2)*MOD(INT(MOD(INT((F37)/65536),256)/2^6),2)*64+MOD(INT(MOD(INT((D37)/65536),256)/2^7),2)*MOD(INT(MOD(INT((F37)/65536),256)/2^7),2)*128)*65536+(MOD(INT(MOD(INT((D37)/16777216),256)/2^0),2)*MOD(INT(MOD(INT((F37)/16777216),256)/2^0),2)*1+MOD(INT(MOD(INT((D37)/16777216),256)/2^1),2)*MOD(INT(MOD(INT((F37)/16777216),256)/2^1),2)*2+MOD(INT(MOD(INT((D37)/16777216),256)/2^2),2)*MOD(INT(MOD(INT((F37)/16777216),256)/2^2),2)*4+MOD(INT(MOD(INT((D37)/16777216),256)/2^3),2)*MOD(INT(MOD(INT((F37)/16777216),256)/2^3),2)*8+MOD(INT(MOD(INT((D37)/16777216),256)/2^4),2)*MOD(INT(MOD(INT((F37)/16777216),256)/2^4),2)*16+MOD(INT(MOD(INT((D37)/16777216),256)/2^5),2)*MOD(INT(MOD(INT((F37)/16777216),256)/2^5),2)*32+MOD(INT(MOD(INT((D37)/16777216),256)/2^6),2)*MOD(INT(MOD(INT((F37)/16777216),256)/2^6),2)*64+MOD(INT(MOD(INT((D37)/16777216),256)/2^7),2)*MOD(INT(MOD(INT((F37)/16777216),256)/2^7),2)*128)*16777216)</f>
        <v>2265026880</v>
      </c>
      <c r="BE38" s="24">
        <f t="shared" ref="BE38:BE69" si="119">((MOD(INT(MOD(INT((C37)/1),256)/2^0),2)*MOD(INT(MOD(INT((G37)/1),256)/2^0),2)*1+MOD(INT(MOD(INT((C37)/1),256)/2^1),2)*MOD(INT(MOD(INT((G37)/1),256)/2^1),2)*2+MOD(INT(MOD(INT((C37)/1),256)/2^2),2)*MOD(INT(MOD(INT((G37)/1),256)/2^2),2)*4+MOD(INT(MOD(INT((C37)/1),256)/2^3),2)*MOD(INT(MOD(INT((G37)/1),256)/2^3),2)*8+MOD(INT(MOD(INT((C37)/1),256)/2^4),2)*MOD(INT(MOD(INT((G37)/1),256)/2^4),2)*16+MOD(INT(MOD(INT((C37)/1),256)/2^5),2)*MOD(INT(MOD(INT((G37)/1),256)/2^5),2)*32+MOD(INT(MOD(INT((C37)/1),256)/2^6),2)*MOD(INT(MOD(INT((G37)/1),256)/2^6),2)*64+MOD(INT(MOD(INT((C37)/1),256)/2^7),2)*MOD(INT(MOD(INT((G37)/1),256)/2^7),2)*128)*1+(MOD(INT(MOD(INT((C37)/256),256)/2^0),2)*MOD(INT(MOD(INT((G37)/256),256)/2^0),2)*1+MOD(INT(MOD(INT((C37)/256),256)/2^1),2)*MOD(INT(MOD(INT((G37)/256),256)/2^1),2)*2+MOD(INT(MOD(INT((C37)/256),256)/2^2),2)*MOD(INT(MOD(INT((G37)/256),256)/2^2),2)*4+MOD(INT(MOD(INT((C37)/256),256)/2^3),2)*MOD(INT(MOD(INT((G37)/256),256)/2^3),2)*8+MOD(INT(MOD(INT((C37)/256),256)/2^4),2)*MOD(INT(MOD(INT((G37)/256),256)/2^4),2)*16+MOD(INT(MOD(INT((C37)/256),256)/2^5),2)*MOD(INT(MOD(INT((G37)/256),256)/2^5),2)*32+MOD(INT(MOD(INT((C37)/256),256)/2^6),2)*MOD(INT(MOD(INT((G37)/256),256)/2^6),2)*64+MOD(INT(MOD(INT((C37)/256),256)/2^7),2)*MOD(INT(MOD(INT((G37)/256),256)/2^7),2)*128)*256+(MOD(INT(MOD(INT((C37)/65536),256)/2^0),2)*MOD(INT(MOD(INT((G37)/65536),256)/2^0),2)*1+MOD(INT(MOD(INT((C37)/65536),256)/2^1),2)*MOD(INT(MOD(INT((G37)/65536),256)/2^1),2)*2+MOD(INT(MOD(INT((C37)/65536),256)/2^2),2)*MOD(INT(MOD(INT((G37)/65536),256)/2^2),2)*4+MOD(INT(MOD(INT((C37)/65536),256)/2^3),2)*MOD(INT(MOD(INT((G37)/65536),256)/2^3),2)*8+MOD(INT(MOD(INT((C37)/65536),256)/2^4),2)*MOD(INT(MOD(INT((G37)/65536),256)/2^4),2)*16+MOD(INT(MOD(INT((C37)/65536),256)/2^5),2)*MOD(INT(MOD(INT((G37)/65536),256)/2^5),2)*32+MOD(INT(MOD(INT((C37)/65536),256)/2^6),2)*MOD(INT(MOD(INT((G37)/65536),256)/2^6),2)*64+MOD(INT(MOD(INT((C37)/65536),256)/2^7),2)*MOD(INT(MOD(INT((G37)/65536),256)/2^7),2)*128)*65536+(MOD(INT(MOD(INT((C37)/16777216),256)/2^0),2)*MOD(INT(MOD(INT((G37)/16777216),256)/2^0),2)*1+MOD(INT(MOD(INT((C37)/16777216),256)/2^1),2)*MOD(INT(MOD(INT((G37)/16777216),256)/2^1),2)*2+MOD(INT(MOD(INT((C37)/16777216),256)/2^2),2)*MOD(INT(MOD(INT((G37)/16777216),256)/2^2),2)*4+MOD(INT(MOD(INT((C37)/16777216),256)/2^3),2)*MOD(INT(MOD(INT((G37)/16777216),256)/2^3),2)*8+MOD(INT(MOD(INT((C37)/16777216),256)/2^4),2)*MOD(INT(MOD(INT((G37)/16777216),256)/2^4),2)*16+MOD(INT(MOD(INT((C37)/16777216),256)/2^5),2)*MOD(INT(MOD(INT((G37)/16777216),256)/2^5),2)*32+MOD(INT(MOD(INT((C37)/16777216),256)/2^6),2)*MOD(INT(MOD(INT((G37)/16777216),256)/2^6),2)*64+MOD(INT(MOD(INT((C37)/16777216),256)/2^7),2)*MOD(INT(MOD(INT((G37)/16777216),256)/2^7),2)*128)*16777216)</f>
        <v>2363408</v>
      </c>
      <c r="BF38" s="24">
        <f t="shared" ref="BF38:BF69" si="120">((MOD(INT(MOD(INT((D37)/1),256)/2^0),2)*MOD(INT(MOD(INT((H37)/1),256)/2^0),2)*1+MOD(INT(MOD(INT((D37)/1),256)/2^1),2)*MOD(INT(MOD(INT((H37)/1),256)/2^1),2)*2+MOD(INT(MOD(INT((D37)/1),256)/2^2),2)*MOD(INT(MOD(INT((H37)/1),256)/2^2),2)*4+MOD(INT(MOD(INT((D37)/1),256)/2^3),2)*MOD(INT(MOD(INT((H37)/1),256)/2^3),2)*8+MOD(INT(MOD(INT((D37)/1),256)/2^4),2)*MOD(INT(MOD(INT((H37)/1),256)/2^4),2)*16+MOD(INT(MOD(INT((D37)/1),256)/2^5),2)*MOD(INT(MOD(INT((H37)/1),256)/2^5),2)*32+MOD(INT(MOD(INT((D37)/1),256)/2^6),2)*MOD(INT(MOD(INT((H37)/1),256)/2^6),2)*64+MOD(INT(MOD(INT((D37)/1),256)/2^7),2)*MOD(INT(MOD(INT((H37)/1),256)/2^7),2)*128)*1+(MOD(INT(MOD(INT((D37)/256),256)/2^0),2)*MOD(INT(MOD(INT((H37)/256),256)/2^0),2)*1+MOD(INT(MOD(INT((D37)/256),256)/2^1),2)*MOD(INT(MOD(INT((H37)/256),256)/2^1),2)*2+MOD(INT(MOD(INT((D37)/256),256)/2^2),2)*MOD(INT(MOD(INT((H37)/256),256)/2^2),2)*4+MOD(INT(MOD(INT((D37)/256),256)/2^3),2)*MOD(INT(MOD(INT((H37)/256),256)/2^3),2)*8+MOD(INT(MOD(INT((D37)/256),256)/2^4),2)*MOD(INT(MOD(INT((H37)/256),256)/2^4),2)*16+MOD(INT(MOD(INT((D37)/256),256)/2^5),2)*MOD(INT(MOD(INT((H37)/256),256)/2^5),2)*32+MOD(INT(MOD(INT((D37)/256),256)/2^6),2)*MOD(INT(MOD(INT((H37)/256),256)/2^6),2)*64+MOD(INT(MOD(INT((D37)/256),256)/2^7),2)*MOD(INT(MOD(INT((H37)/256),256)/2^7),2)*128)*256+(MOD(INT(MOD(INT((D37)/65536),256)/2^0),2)*MOD(INT(MOD(INT((H37)/65536),256)/2^0),2)*1+MOD(INT(MOD(INT((D37)/65536),256)/2^1),2)*MOD(INT(MOD(INT((H37)/65536),256)/2^1),2)*2+MOD(INT(MOD(INT((D37)/65536),256)/2^2),2)*MOD(INT(MOD(INT((H37)/65536),256)/2^2),2)*4+MOD(INT(MOD(INT((D37)/65536),256)/2^3),2)*MOD(INT(MOD(INT((H37)/65536),256)/2^3),2)*8+MOD(INT(MOD(INT((D37)/65536),256)/2^4),2)*MOD(INT(MOD(INT((H37)/65536),256)/2^4),2)*16+MOD(INT(MOD(INT((D37)/65536),256)/2^5),2)*MOD(INT(MOD(INT((H37)/65536),256)/2^5),2)*32+MOD(INT(MOD(INT((D37)/65536),256)/2^6),2)*MOD(INT(MOD(INT((H37)/65536),256)/2^6),2)*64+MOD(INT(MOD(INT((D37)/65536),256)/2^7),2)*MOD(INT(MOD(INT((H37)/65536),256)/2^7),2)*128)*65536+(MOD(INT(MOD(INT((D37)/16777216),256)/2^0),2)*MOD(INT(MOD(INT((H37)/16777216),256)/2^0),2)*1+MOD(INT(MOD(INT((D37)/16777216),256)/2^1),2)*MOD(INT(MOD(INT((H37)/16777216),256)/2^1),2)*2+MOD(INT(MOD(INT((D37)/16777216),256)/2^2),2)*MOD(INT(MOD(INT((H37)/16777216),256)/2^2),2)*4+MOD(INT(MOD(INT((D37)/16777216),256)/2^3),2)*MOD(INT(MOD(INT((H37)/16777216),256)/2^3),2)*8+MOD(INT(MOD(INT((D37)/16777216),256)/2^4),2)*MOD(INT(MOD(INT((H37)/16777216),256)/2^4),2)*16+MOD(INT(MOD(INT((D37)/16777216),256)/2^5),2)*MOD(INT(MOD(INT((H37)/16777216),256)/2^5),2)*32+MOD(INT(MOD(INT((D37)/16777216),256)/2^6),2)*MOD(INT(MOD(INT((H37)/16777216),256)/2^6),2)*64+MOD(INT(MOD(INT((D37)/16777216),256)/2^7),2)*MOD(INT(MOD(INT((H37)/16777216),256)/2^7),2)*128)*16777216)</f>
        <v>2147484032</v>
      </c>
      <c r="BG38" s="24">
        <f t="shared" ref="BG38:BG69" si="121">((MOD(INT(MOD(INT((E37)/1),256)/2^0),2)*MOD(INT(MOD(INT((G37)/1),256)/2^0),2)*1+MOD(INT(MOD(INT((E37)/1),256)/2^1),2)*MOD(INT(MOD(INT((G37)/1),256)/2^1),2)*2+MOD(INT(MOD(INT((E37)/1),256)/2^2),2)*MOD(INT(MOD(INT((G37)/1),256)/2^2),2)*4+MOD(INT(MOD(INT((E37)/1),256)/2^3),2)*MOD(INT(MOD(INT((G37)/1),256)/2^3),2)*8+MOD(INT(MOD(INT((E37)/1),256)/2^4),2)*MOD(INT(MOD(INT((G37)/1),256)/2^4),2)*16+MOD(INT(MOD(INT((E37)/1),256)/2^5),2)*MOD(INT(MOD(INT((G37)/1),256)/2^5),2)*32+MOD(INT(MOD(INT((E37)/1),256)/2^6),2)*MOD(INT(MOD(INT((G37)/1),256)/2^6),2)*64+MOD(INT(MOD(INT((E37)/1),256)/2^7),2)*MOD(INT(MOD(INT((G37)/1),256)/2^7),2)*128)*1+(MOD(INT(MOD(INT((E37)/256),256)/2^0),2)*MOD(INT(MOD(INT((G37)/256),256)/2^0),2)*1+MOD(INT(MOD(INT((E37)/256),256)/2^1),2)*MOD(INT(MOD(INT((G37)/256),256)/2^1),2)*2+MOD(INT(MOD(INT((E37)/256),256)/2^2),2)*MOD(INT(MOD(INT((G37)/256),256)/2^2),2)*4+MOD(INT(MOD(INT((E37)/256),256)/2^3),2)*MOD(INT(MOD(INT((G37)/256),256)/2^3),2)*8+MOD(INT(MOD(INT((E37)/256),256)/2^4),2)*MOD(INT(MOD(INT((G37)/256),256)/2^4),2)*16+MOD(INT(MOD(INT((E37)/256),256)/2^5),2)*MOD(INT(MOD(INT((G37)/256),256)/2^5),2)*32+MOD(INT(MOD(INT((E37)/256),256)/2^6),2)*MOD(INT(MOD(INT((G37)/256),256)/2^6),2)*64+MOD(INT(MOD(INT((E37)/256),256)/2^7),2)*MOD(INT(MOD(INT((G37)/256),256)/2^7),2)*128)*256+(MOD(INT(MOD(INT((E37)/65536),256)/2^0),2)*MOD(INT(MOD(INT((G37)/65536),256)/2^0),2)*1+MOD(INT(MOD(INT((E37)/65536),256)/2^1),2)*MOD(INT(MOD(INT((G37)/65536),256)/2^1),2)*2+MOD(INT(MOD(INT((E37)/65536),256)/2^2),2)*MOD(INT(MOD(INT((G37)/65536),256)/2^2),2)*4+MOD(INT(MOD(INT((E37)/65536),256)/2^3),2)*MOD(INT(MOD(INT((G37)/65536),256)/2^3),2)*8+MOD(INT(MOD(INT((E37)/65536),256)/2^4),2)*MOD(INT(MOD(INT((G37)/65536),256)/2^4),2)*16+MOD(INT(MOD(INT((E37)/65536),256)/2^5),2)*MOD(INT(MOD(INT((G37)/65536),256)/2^5),2)*32+MOD(INT(MOD(INT((E37)/65536),256)/2^6),2)*MOD(INT(MOD(INT((G37)/65536),256)/2^6),2)*64+MOD(INT(MOD(INT((E37)/65536),256)/2^7),2)*MOD(INT(MOD(INT((G37)/65536),256)/2^7),2)*128)*65536+(MOD(INT(MOD(INT((E37)/16777216),256)/2^0),2)*MOD(INT(MOD(INT((G37)/16777216),256)/2^0),2)*1+MOD(INT(MOD(INT((E37)/16777216),256)/2^1),2)*MOD(INT(MOD(INT((G37)/16777216),256)/2^1),2)*2+MOD(INT(MOD(INT((E37)/16777216),256)/2^2),2)*MOD(INT(MOD(INT((G37)/16777216),256)/2^2),2)*4+MOD(INT(MOD(INT((E37)/16777216),256)/2^3),2)*MOD(INT(MOD(INT((G37)/16777216),256)/2^3),2)*8+MOD(INT(MOD(INT((E37)/16777216),256)/2^4),2)*MOD(INT(MOD(INT((G37)/16777216),256)/2^4),2)*16+MOD(INT(MOD(INT((E37)/16777216),256)/2^5),2)*MOD(INT(MOD(INT((G37)/16777216),256)/2^5),2)*32+MOD(INT(MOD(INT((E37)/16777216),256)/2^6),2)*MOD(INT(MOD(INT((G37)/16777216),256)/2^6),2)*64+MOD(INT(MOD(INT((E37)/16777216),256)/2^7),2)*MOD(INT(MOD(INT((G37)/16777216),256)/2^7),2)*128)*16777216)</f>
        <v>3145760</v>
      </c>
      <c r="BH38" s="24">
        <f t="shared" ref="BH38:BH69" si="122">((MOD(INT(MOD(INT((F37)/1),256)/2^0),2)*MOD(INT(MOD(INT((H37)/1),256)/2^0),2)*1+MOD(INT(MOD(INT((F37)/1),256)/2^1),2)*MOD(INT(MOD(INT((H37)/1),256)/2^1),2)*2+MOD(INT(MOD(INT((F37)/1),256)/2^2),2)*MOD(INT(MOD(INT((H37)/1),256)/2^2),2)*4+MOD(INT(MOD(INT((F37)/1),256)/2^3),2)*MOD(INT(MOD(INT((H37)/1),256)/2^3),2)*8+MOD(INT(MOD(INT((F37)/1),256)/2^4),2)*MOD(INT(MOD(INT((H37)/1),256)/2^4),2)*16+MOD(INT(MOD(INT((F37)/1),256)/2^5),2)*MOD(INT(MOD(INT((H37)/1),256)/2^5),2)*32+MOD(INT(MOD(INT((F37)/1),256)/2^6),2)*MOD(INT(MOD(INT((H37)/1),256)/2^6),2)*64+MOD(INT(MOD(INT((F37)/1),256)/2^7),2)*MOD(INT(MOD(INT((H37)/1),256)/2^7),2)*128)*1+(MOD(INT(MOD(INT((F37)/256),256)/2^0),2)*MOD(INT(MOD(INT((H37)/256),256)/2^0),2)*1+MOD(INT(MOD(INT((F37)/256),256)/2^1),2)*MOD(INT(MOD(INT((H37)/256),256)/2^1),2)*2+MOD(INT(MOD(INT((F37)/256),256)/2^2),2)*MOD(INT(MOD(INT((H37)/256),256)/2^2),2)*4+MOD(INT(MOD(INT((F37)/256),256)/2^3),2)*MOD(INT(MOD(INT((H37)/256),256)/2^3),2)*8+MOD(INT(MOD(INT((F37)/256),256)/2^4),2)*MOD(INT(MOD(INT((H37)/256),256)/2^4),2)*16+MOD(INT(MOD(INT((F37)/256),256)/2^5),2)*MOD(INT(MOD(INT((H37)/256),256)/2^5),2)*32+MOD(INT(MOD(INT((F37)/256),256)/2^6),2)*MOD(INT(MOD(INT((H37)/256),256)/2^6),2)*64+MOD(INT(MOD(INT((F37)/256),256)/2^7),2)*MOD(INT(MOD(INT((H37)/256),256)/2^7),2)*128)*256+(MOD(INT(MOD(INT((F37)/65536),256)/2^0),2)*MOD(INT(MOD(INT((H37)/65536),256)/2^0),2)*1+MOD(INT(MOD(INT((F37)/65536),256)/2^1),2)*MOD(INT(MOD(INT((H37)/65536),256)/2^1),2)*2+MOD(INT(MOD(INT((F37)/65536),256)/2^2),2)*MOD(INT(MOD(INT((H37)/65536),256)/2^2),2)*4+MOD(INT(MOD(INT((F37)/65536),256)/2^3),2)*MOD(INT(MOD(INT((H37)/65536),256)/2^3),2)*8+MOD(INT(MOD(INT((F37)/65536),256)/2^4),2)*MOD(INT(MOD(INT((H37)/65536),256)/2^4),2)*16+MOD(INT(MOD(INT((F37)/65536),256)/2^5),2)*MOD(INT(MOD(INT((H37)/65536),256)/2^5),2)*32+MOD(INT(MOD(INT((F37)/65536),256)/2^6),2)*MOD(INT(MOD(INT((H37)/65536),256)/2^6),2)*64+MOD(INT(MOD(INT((F37)/65536),256)/2^7),2)*MOD(INT(MOD(INT((H37)/65536),256)/2^7),2)*128)*65536+(MOD(INT(MOD(INT((F37)/16777216),256)/2^0),2)*MOD(INT(MOD(INT((H37)/16777216),256)/2^0),2)*1+MOD(INT(MOD(INT((F37)/16777216),256)/2^1),2)*MOD(INT(MOD(INT((H37)/16777216),256)/2^1),2)*2+MOD(INT(MOD(INT((F37)/16777216),256)/2^2),2)*MOD(INT(MOD(INT((H37)/16777216),256)/2^2),2)*4+MOD(INT(MOD(INT((F37)/16777216),256)/2^3),2)*MOD(INT(MOD(INT((H37)/16777216),256)/2^3),2)*8+MOD(INT(MOD(INT((F37)/16777216),256)/2^4),2)*MOD(INT(MOD(INT((H37)/16777216),256)/2^4),2)*16+MOD(INT(MOD(INT((F37)/16777216),256)/2^5),2)*MOD(INT(MOD(INT((H37)/16777216),256)/2^5),2)*32+MOD(INT(MOD(INT((F37)/16777216),256)/2^6),2)*MOD(INT(MOD(INT((H37)/16777216),256)/2^6),2)*64+MOD(INT(MOD(INT((F37)/16777216),256)/2^7),2)*MOD(INT(MOD(INT((H37)/16777216),256)/2^7),2)*128)*16777216)</f>
        <v>2160066834</v>
      </c>
      <c r="BI38" s="24">
        <f t="shared" ref="BI38:BI69" si="123">((MOD(INT(MOD(INT((BC38)/1),256)/2^0),2)*MOD(INT(MOD(INT((BG38)/1),256)/2^0),2)*1+MOD(INT(MOD(INT((BC38)/1),256)/2^1),2)*MOD(INT(MOD(INT((BG38)/1),256)/2^1),2)*2+MOD(INT(MOD(INT((BC38)/1),256)/2^2),2)*MOD(INT(MOD(INT((BG38)/1),256)/2^2),2)*4+MOD(INT(MOD(INT((BC38)/1),256)/2^3),2)*MOD(INT(MOD(INT((BG38)/1),256)/2^3),2)*8+MOD(INT(MOD(INT((BC38)/1),256)/2^4),2)*MOD(INT(MOD(INT((BG38)/1),256)/2^4),2)*16+MOD(INT(MOD(INT((BC38)/1),256)/2^5),2)*MOD(INT(MOD(INT((BG38)/1),256)/2^5),2)*32+MOD(INT(MOD(INT((BC38)/1),256)/2^6),2)*MOD(INT(MOD(INT((BG38)/1),256)/2^6),2)*64+MOD(INT(MOD(INT((BC38)/1),256)/2^7),2)*MOD(INT(MOD(INT((BG38)/1),256)/2^7),2)*128)*1+(MOD(INT(MOD(INT((BC38)/256),256)/2^0),2)*MOD(INT(MOD(INT((BG38)/256),256)/2^0),2)*1+MOD(INT(MOD(INT((BC38)/256),256)/2^1),2)*MOD(INT(MOD(INT((BG38)/256),256)/2^1),2)*2+MOD(INT(MOD(INT((BC38)/256),256)/2^2),2)*MOD(INT(MOD(INT((BG38)/256),256)/2^2),2)*4+MOD(INT(MOD(INT((BC38)/256),256)/2^3),2)*MOD(INT(MOD(INT((BG38)/256),256)/2^3),2)*8+MOD(INT(MOD(INT((BC38)/256),256)/2^4),2)*MOD(INT(MOD(INT((BG38)/256),256)/2^4),2)*16+MOD(INT(MOD(INT((BC38)/256),256)/2^5),2)*MOD(INT(MOD(INT((BG38)/256),256)/2^5),2)*32+MOD(INT(MOD(INT((BC38)/256),256)/2^6),2)*MOD(INT(MOD(INT((BG38)/256),256)/2^6),2)*64+MOD(INT(MOD(INT((BC38)/256),256)/2^7),2)*MOD(INT(MOD(INT((BG38)/256),256)/2^7),2)*128)*256+(MOD(INT(MOD(INT((BC38)/65536),256)/2^0),2)*MOD(INT(MOD(INT((BG38)/65536),256)/2^0),2)*1+MOD(INT(MOD(INT((BC38)/65536),256)/2^1),2)*MOD(INT(MOD(INT((BG38)/65536),256)/2^1),2)*2+MOD(INT(MOD(INT((BC38)/65536),256)/2^2),2)*MOD(INT(MOD(INT((BG38)/65536),256)/2^2),2)*4+MOD(INT(MOD(INT((BC38)/65536),256)/2^3),2)*MOD(INT(MOD(INT((BG38)/65536),256)/2^3),2)*8+MOD(INT(MOD(INT((BC38)/65536),256)/2^4),2)*MOD(INT(MOD(INT((BG38)/65536),256)/2^4),2)*16+MOD(INT(MOD(INT((BC38)/65536),256)/2^5),2)*MOD(INT(MOD(INT((BG38)/65536),256)/2^5),2)*32+MOD(INT(MOD(INT((BC38)/65536),256)/2^6),2)*MOD(INT(MOD(INT((BG38)/65536),256)/2^6),2)*64+MOD(INT(MOD(INT((BC38)/65536),256)/2^7),2)*MOD(INT(MOD(INT((BG38)/65536),256)/2^7),2)*128)*65536+(MOD(INT(MOD(INT((BC38)/16777216),256)/2^0),2)*MOD(INT(MOD(INT((BG38)/16777216),256)/2^0),2)*1+MOD(INT(MOD(INT((BC38)/16777216),256)/2^1),2)*MOD(INT(MOD(INT((BG38)/16777216),256)/2^1),2)*2+MOD(INT(MOD(INT((BC38)/16777216),256)/2^2),2)*MOD(INT(MOD(INT((BG38)/16777216),256)/2^2),2)*4+MOD(INT(MOD(INT((BC38)/16777216),256)/2^3),2)*MOD(INT(MOD(INT((BG38)/16777216),256)/2^3),2)*8+MOD(INT(MOD(INT((BC38)/16777216),256)/2^4),2)*MOD(INT(MOD(INT((BG38)/16777216),256)/2^4),2)*16+MOD(INT(MOD(INT((BC38)/16777216),256)/2^5),2)*MOD(INT(MOD(INT((BG38)/16777216),256)/2^5),2)*32+MOD(INT(MOD(INT((BC38)/16777216),256)/2^6),2)*MOD(INT(MOD(INT((BG38)/16777216),256)/2^6),2)*64+MOD(INT(MOD(INT((BC38)/16777216),256)/2^7),2)*MOD(INT(MOD(INT((BG38)/16777216),256)/2^7),2)*128)*16777216)</f>
        <v>2097152</v>
      </c>
      <c r="BJ38" s="24">
        <f t="shared" ref="BJ38:BJ69" si="124">((MOD(INT(MOD(INT((BD38)/1),256)/2^0),2)*MOD(INT(MOD(INT((BH38)/1),256)/2^0),2)*1+MOD(INT(MOD(INT((BD38)/1),256)/2^1),2)*MOD(INT(MOD(INT((BH38)/1),256)/2^1),2)*2+MOD(INT(MOD(INT((BD38)/1),256)/2^2),2)*MOD(INT(MOD(INT((BH38)/1),256)/2^2),2)*4+MOD(INT(MOD(INT((BD38)/1),256)/2^3),2)*MOD(INT(MOD(INT((BH38)/1),256)/2^3),2)*8+MOD(INT(MOD(INT((BD38)/1),256)/2^4),2)*MOD(INT(MOD(INT((BH38)/1),256)/2^4),2)*16+MOD(INT(MOD(INT((BD38)/1),256)/2^5),2)*MOD(INT(MOD(INT((BH38)/1),256)/2^5),2)*32+MOD(INT(MOD(INT((BD38)/1),256)/2^6),2)*MOD(INT(MOD(INT((BH38)/1),256)/2^6),2)*64+MOD(INT(MOD(INT((BD38)/1),256)/2^7),2)*MOD(INT(MOD(INT((BH38)/1),256)/2^7),2)*128)*1+(MOD(INT(MOD(INT((BD38)/256),256)/2^0),2)*MOD(INT(MOD(INT((BH38)/256),256)/2^0),2)*1+MOD(INT(MOD(INT((BD38)/256),256)/2^1),2)*MOD(INT(MOD(INT((BH38)/256),256)/2^1),2)*2+MOD(INT(MOD(INT((BD38)/256),256)/2^2),2)*MOD(INT(MOD(INT((BH38)/256),256)/2^2),2)*4+MOD(INT(MOD(INT((BD38)/256),256)/2^3),2)*MOD(INT(MOD(INT((BH38)/256),256)/2^3),2)*8+MOD(INT(MOD(INT((BD38)/256),256)/2^4),2)*MOD(INT(MOD(INT((BH38)/256),256)/2^4),2)*16+MOD(INT(MOD(INT((BD38)/256),256)/2^5),2)*MOD(INT(MOD(INT((BH38)/256),256)/2^5),2)*32+MOD(INT(MOD(INT((BD38)/256),256)/2^6),2)*MOD(INT(MOD(INT((BH38)/256),256)/2^6),2)*64+MOD(INT(MOD(INT((BD38)/256),256)/2^7),2)*MOD(INT(MOD(INT((BH38)/256),256)/2^7),2)*128)*256+(MOD(INT(MOD(INT((BD38)/65536),256)/2^0),2)*MOD(INT(MOD(INT((BH38)/65536),256)/2^0),2)*1+MOD(INT(MOD(INT((BD38)/65536),256)/2^1),2)*MOD(INT(MOD(INT((BH38)/65536),256)/2^1),2)*2+MOD(INT(MOD(INT((BD38)/65536),256)/2^2),2)*MOD(INT(MOD(INT((BH38)/65536),256)/2^2),2)*4+MOD(INT(MOD(INT((BD38)/65536),256)/2^3),2)*MOD(INT(MOD(INT((BH38)/65536),256)/2^3),2)*8+MOD(INT(MOD(INT((BD38)/65536),256)/2^4),2)*MOD(INT(MOD(INT((BH38)/65536),256)/2^4),2)*16+MOD(INT(MOD(INT((BD38)/65536),256)/2^5),2)*MOD(INT(MOD(INT((BH38)/65536),256)/2^5),2)*32+MOD(INT(MOD(INT((BD38)/65536),256)/2^6),2)*MOD(INT(MOD(INT((BH38)/65536),256)/2^6),2)*64+MOD(INT(MOD(INT((BD38)/65536),256)/2^7),2)*MOD(INT(MOD(INT((BH38)/65536),256)/2^7),2)*128)*65536+(MOD(INT(MOD(INT((BD38)/16777216),256)/2^0),2)*MOD(INT(MOD(INT((BH38)/16777216),256)/2^0),2)*1+MOD(INT(MOD(INT((BD38)/16777216),256)/2^1),2)*MOD(INT(MOD(INT((BH38)/16777216),256)/2^1),2)*2+MOD(INT(MOD(INT((BD38)/16777216),256)/2^2),2)*MOD(INT(MOD(INT((BH38)/16777216),256)/2^2),2)*4+MOD(INT(MOD(INT((BD38)/16777216),256)/2^3),2)*MOD(INT(MOD(INT((BH38)/16777216),256)/2^3),2)*8+MOD(INT(MOD(INT((BD38)/16777216),256)/2^4),2)*MOD(INT(MOD(INT((BH38)/16777216),256)/2^4),2)*16+MOD(INT(MOD(INT((BD38)/16777216),256)/2^5),2)*MOD(INT(MOD(INT((BH38)/16777216),256)/2^5),2)*32+MOD(INT(MOD(INT((BD38)/16777216),256)/2^6),2)*MOD(INT(MOD(INT((BH38)/16777216),256)/2^6),2)*64+MOD(INT(MOD(INT((BD38)/16777216),256)/2^7),2)*MOD(INT(MOD(INT((BH38)/16777216),256)/2^7),2)*128)*16777216)</f>
        <v>2147483904</v>
      </c>
      <c r="BK38" s="24">
        <f t="shared" ref="BK38:BK69" si="125">MOD(BC38+BE38+BG38-2*BI38,4294967296)</f>
        <v>263598646</v>
      </c>
      <c r="BL38" s="24">
        <f t="shared" ref="BL38:BL69" si="126">MOD(BD38+BF38+BH38-2*BJ38,4294967296)</f>
        <v>2277609938</v>
      </c>
      <c r="BM38" s="24">
        <f>MOD(R37+AF38+BB38+'📦 Константы SHA-512'!D36+BI232,4294967296)</f>
        <v>2257950209</v>
      </c>
      <c r="BN38" s="24">
        <f>INT((R37+AF38+BB38+'📦 Константы SHA-512'!D36+BI232)/4294967296)</f>
        <v>1</v>
      </c>
      <c r="BO38" s="24">
        <f>MOD(Q37+AE38+BA38+'📦 Константы SHA-512'!C36+BH232+BN38,4294967296)</f>
        <v>615662109</v>
      </c>
      <c r="BP38" s="24" t="s">
        <v>330</v>
      </c>
      <c r="BQ38" s="24">
        <f t="shared" ref="BQ38:BQ69" si="127">MOD(AT38+BL38,4294967296)</f>
        <v>2944856925</v>
      </c>
      <c r="BR38" s="24">
        <f t="shared" ref="BR38:BR69" si="128">INT((AT38+BL38)/4294967296)</f>
        <v>0</v>
      </c>
      <c r="BS38" s="24">
        <f t="shared" ref="BS38:BS69" si="129">MOD(AS38+BK38+BR38,4294967296)</f>
        <v>74297353</v>
      </c>
      <c r="BU38" s="24">
        <f t="shared" ref="BU38:BU69" si="130">MOD(I37+BO38+INT((J37+BM38)/4294967296),4294967296)</f>
        <v>2654425720</v>
      </c>
      <c r="BV38" s="24">
        <f t="shared" ref="BV38:BV69" si="131">MOD(J37+BM38,4294967296)</f>
        <v>1175804006</v>
      </c>
      <c r="BW38" s="24">
        <f t="shared" ref="BW38:BW69" si="132">MOD(BO38+BS38+INT((BM38+BQ38)/4294967296),4294967296)</f>
        <v>689959463</v>
      </c>
      <c r="BX38" s="24">
        <f t="shared" ref="BX38:BX69" si="133">MOD(BM38+BQ38,4294967296)</f>
        <v>907839838</v>
      </c>
    </row>
    <row r="39" spans="2:76" ht="12.75" customHeight="1" x14ac:dyDescent="0.25">
      <c r="B39" s="48">
        <v>34</v>
      </c>
      <c r="C39" s="26">
        <f t="shared" si="67"/>
        <v>1161013256</v>
      </c>
      <c r="D39" s="26">
        <f t="shared" si="68"/>
        <v>3668217825</v>
      </c>
      <c r="E39" s="26">
        <f t="shared" si="69"/>
        <v>689959463</v>
      </c>
      <c r="F39" s="26">
        <f t="shared" si="70"/>
        <v>907839838</v>
      </c>
      <c r="G39" s="26">
        <f t="shared" si="71"/>
        <v>803615254</v>
      </c>
      <c r="H39" s="26">
        <f t="shared" si="72"/>
        <v>2802031049</v>
      </c>
      <c r="I39" s="26">
        <f t="shared" si="73"/>
        <v>263890471</v>
      </c>
      <c r="J39" s="26">
        <f t="shared" si="74"/>
        <v>2680263510</v>
      </c>
      <c r="K39" s="26">
        <f t="shared" si="75"/>
        <v>3280387953</v>
      </c>
      <c r="L39" s="26">
        <f t="shared" si="76"/>
        <v>4236515063</v>
      </c>
      <c r="M39" s="26">
        <f t="shared" si="77"/>
        <v>2654425720</v>
      </c>
      <c r="N39" s="26">
        <f t="shared" si="78"/>
        <v>1175804006</v>
      </c>
      <c r="O39" s="26">
        <f t="shared" si="79"/>
        <v>2436596694</v>
      </c>
      <c r="P39" s="26">
        <f t="shared" si="80"/>
        <v>1595357164</v>
      </c>
      <c r="Q39" s="26">
        <f t="shared" si="81"/>
        <v>1752362854</v>
      </c>
      <c r="R39" s="26">
        <f t="shared" si="82"/>
        <v>3128927449</v>
      </c>
      <c r="S39" s="24">
        <f t="shared" si="83"/>
        <v>1637513437</v>
      </c>
      <c r="T39" s="24">
        <f t="shared" si="84"/>
        <v>1239488597</v>
      </c>
      <c r="U39" s="24">
        <f t="shared" si="85"/>
        <v>1444521869</v>
      </c>
      <c r="V39" s="24">
        <f t="shared" si="86"/>
        <v>3567128965</v>
      </c>
      <c r="W39" s="24">
        <f t="shared" si="87"/>
        <v>1008929452</v>
      </c>
      <c r="X39" s="24">
        <f t="shared" si="88"/>
        <v>860822441</v>
      </c>
      <c r="Y39" s="24">
        <f t="shared" si="89"/>
        <v>1075323021</v>
      </c>
      <c r="Z39" s="24">
        <f t="shared" si="90"/>
        <v>1082134533</v>
      </c>
      <c r="AA39" s="24">
        <f t="shared" si="91"/>
        <v>931389264</v>
      </c>
      <c r="AB39" s="24">
        <f t="shared" si="92"/>
        <v>2642348496</v>
      </c>
      <c r="AC39" s="24">
        <f t="shared" si="93"/>
        <v>872614400</v>
      </c>
      <c r="AD39" s="24">
        <f t="shared" si="94"/>
        <v>290392448</v>
      </c>
      <c r="AE39" s="24">
        <f t="shared" si="95"/>
        <v>195089916</v>
      </c>
      <c r="AF39" s="24">
        <f t="shared" si="96"/>
        <v>2922386041</v>
      </c>
      <c r="AG39" s="24">
        <f t="shared" si="97"/>
        <v>1640535522</v>
      </c>
      <c r="AH39" s="24">
        <f t="shared" si="98"/>
        <v>2449416819</v>
      </c>
      <c r="AI39" s="24">
        <f t="shared" si="99"/>
        <v>3448185431</v>
      </c>
      <c r="AJ39" s="24">
        <f t="shared" si="100"/>
        <v>2319973513</v>
      </c>
      <c r="AK39" s="24">
        <f t="shared" si="101"/>
        <v>1315715346</v>
      </c>
      <c r="AL39" s="24">
        <f t="shared" si="102"/>
        <v>3159506916</v>
      </c>
      <c r="AM39" s="24">
        <f t="shared" si="103"/>
        <v>1098907714</v>
      </c>
      <c r="AN39" s="24">
        <f t="shared" si="104"/>
        <v>2152144897</v>
      </c>
      <c r="AO39" s="24">
        <f t="shared" si="105"/>
        <v>2890905525</v>
      </c>
      <c r="AP39" s="24">
        <f t="shared" si="106"/>
        <v>465100538</v>
      </c>
      <c r="AQ39" s="24">
        <f t="shared" si="107"/>
        <v>206319888</v>
      </c>
      <c r="AR39" s="24">
        <f t="shared" si="108"/>
        <v>403709664</v>
      </c>
      <c r="AS39" s="24">
        <f t="shared" si="109"/>
        <v>3793981095</v>
      </c>
      <c r="AT39" s="24">
        <f t="shared" si="110"/>
        <v>2817188126</v>
      </c>
      <c r="AU39" s="24">
        <f t="shared" si="111"/>
        <v>2419262032</v>
      </c>
      <c r="AV39" s="24">
        <f t="shared" si="112"/>
        <v>1175785572</v>
      </c>
      <c r="AW39" s="24">
        <f t="shared" si="113"/>
        <v>1614851334</v>
      </c>
      <c r="AX39" s="24">
        <f t="shared" si="114"/>
        <v>3093996697</v>
      </c>
      <c r="BA39" s="24">
        <f t="shared" si="115"/>
        <v>4034113366</v>
      </c>
      <c r="BB39" s="24">
        <f t="shared" si="116"/>
        <v>4269782269</v>
      </c>
      <c r="BC39" s="24">
        <f t="shared" si="117"/>
        <v>688271878</v>
      </c>
      <c r="BD39" s="24">
        <f t="shared" si="118"/>
        <v>637569352</v>
      </c>
      <c r="BE39" s="24">
        <f t="shared" si="119"/>
        <v>152740391</v>
      </c>
      <c r="BF39" s="24">
        <f t="shared" si="120"/>
        <v>369131862</v>
      </c>
      <c r="BG39" s="24">
        <f t="shared" si="121"/>
        <v>262283782</v>
      </c>
      <c r="BH39" s="24">
        <f t="shared" si="122"/>
        <v>2265026880</v>
      </c>
      <c r="BI39" s="24">
        <f t="shared" si="123"/>
        <v>151134726</v>
      </c>
      <c r="BJ39" s="24">
        <f t="shared" si="124"/>
        <v>100696384</v>
      </c>
      <c r="BK39" s="24">
        <f t="shared" si="125"/>
        <v>801026599</v>
      </c>
      <c r="BL39" s="24">
        <f t="shared" si="126"/>
        <v>3070335326</v>
      </c>
      <c r="BM39" s="24">
        <f>MOD(R38+AF39+BB39+'📦 Константы SHA-512'!D37+BI233,4294967296)</f>
        <v>2075661669</v>
      </c>
      <c r="BN39" s="24">
        <f>INT((R38+AF39+BB39+'📦 Константы SHA-512'!D37+BI233)/4294967296)</f>
        <v>3</v>
      </c>
      <c r="BO39" s="24">
        <f>MOD(Q38+AE39+BA39+'📦 Константы SHA-512'!C37+BH233+BN39,4294967296)</f>
        <v>860972857</v>
      </c>
      <c r="BP39" s="24" t="s">
        <v>331</v>
      </c>
      <c r="BQ39" s="24">
        <f t="shared" si="127"/>
        <v>1592556156</v>
      </c>
      <c r="BR39" s="24">
        <f t="shared" si="128"/>
        <v>1</v>
      </c>
      <c r="BS39" s="24">
        <f t="shared" si="129"/>
        <v>300040399</v>
      </c>
      <c r="BU39" s="24">
        <f t="shared" si="130"/>
        <v>3280387953</v>
      </c>
      <c r="BV39" s="24">
        <f t="shared" si="131"/>
        <v>4236515063</v>
      </c>
      <c r="BW39" s="24">
        <f t="shared" si="132"/>
        <v>1161013256</v>
      </c>
      <c r="BX39" s="24">
        <f t="shared" si="133"/>
        <v>3668217825</v>
      </c>
    </row>
    <row r="40" spans="2:76" ht="12.75" customHeight="1" x14ac:dyDescent="0.25">
      <c r="B40" s="50">
        <v>35</v>
      </c>
      <c r="C40" s="28">
        <f t="shared" si="67"/>
        <v>3723926386</v>
      </c>
      <c r="D40" s="28">
        <f t="shared" si="68"/>
        <v>1589762386</v>
      </c>
      <c r="E40" s="28">
        <f t="shared" si="69"/>
        <v>1161013256</v>
      </c>
      <c r="F40" s="28">
        <f t="shared" si="70"/>
        <v>3668217825</v>
      </c>
      <c r="G40" s="28">
        <f t="shared" si="71"/>
        <v>689959463</v>
      </c>
      <c r="H40" s="28">
        <f t="shared" si="72"/>
        <v>907839838</v>
      </c>
      <c r="I40" s="28">
        <f t="shared" si="73"/>
        <v>803615254</v>
      </c>
      <c r="J40" s="28">
        <f t="shared" si="74"/>
        <v>2802031049</v>
      </c>
      <c r="K40" s="28">
        <f t="shared" si="75"/>
        <v>858061471</v>
      </c>
      <c r="L40" s="28">
        <f t="shared" si="76"/>
        <v>2273498368</v>
      </c>
      <c r="M40" s="28">
        <f t="shared" si="77"/>
        <v>3280387953</v>
      </c>
      <c r="N40" s="28">
        <f t="shared" si="78"/>
        <v>4236515063</v>
      </c>
      <c r="O40" s="28">
        <f t="shared" si="79"/>
        <v>2654425720</v>
      </c>
      <c r="P40" s="28">
        <f t="shared" si="80"/>
        <v>1175804006</v>
      </c>
      <c r="Q40" s="28">
        <f t="shared" si="81"/>
        <v>2436596694</v>
      </c>
      <c r="R40" s="28">
        <f t="shared" si="82"/>
        <v>1595357164</v>
      </c>
      <c r="S40" s="24">
        <f t="shared" si="83"/>
        <v>1541344794</v>
      </c>
      <c r="T40" s="24">
        <f t="shared" si="84"/>
        <v>4257739280</v>
      </c>
      <c r="U40" s="24">
        <f t="shared" si="85"/>
        <v>96334049</v>
      </c>
      <c r="V40" s="24">
        <f t="shared" si="86"/>
        <v>2950463265</v>
      </c>
      <c r="W40" s="24">
        <f t="shared" si="87"/>
        <v>3103670795</v>
      </c>
      <c r="X40" s="24">
        <f t="shared" si="88"/>
        <v>2078393183</v>
      </c>
      <c r="Y40" s="24">
        <f t="shared" si="89"/>
        <v>27066368</v>
      </c>
      <c r="Z40" s="24">
        <f t="shared" si="90"/>
        <v>2915332608</v>
      </c>
      <c r="AA40" s="24">
        <f t="shared" si="91"/>
        <v>1583546107</v>
      </c>
      <c r="AB40" s="24">
        <f t="shared" si="92"/>
        <v>1377537329</v>
      </c>
      <c r="AC40" s="24">
        <f t="shared" si="93"/>
        <v>409092619</v>
      </c>
      <c r="AD40" s="24">
        <f t="shared" si="94"/>
        <v>1375830289</v>
      </c>
      <c r="AE40" s="24">
        <f t="shared" si="95"/>
        <v>3869031664</v>
      </c>
      <c r="AF40" s="24">
        <f t="shared" si="96"/>
        <v>704269934</v>
      </c>
      <c r="AG40" s="24">
        <f t="shared" si="97"/>
        <v>2856910356</v>
      </c>
      <c r="AH40" s="24">
        <f t="shared" si="98"/>
        <v>1396342925</v>
      </c>
      <c r="AI40" s="24">
        <f t="shared" si="99"/>
        <v>917054456</v>
      </c>
      <c r="AJ40" s="24">
        <f t="shared" si="100"/>
        <v>1363995138</v>
      </c>
      <c r="AK40" s="24">
        <f t="shared" si="101"/>
        <v>297093407</v>
      </c>
      <c r="AL40" s="24">
        <f t="shared" si="102"/>
        <v>3263850320</v>
      </c>
      <c r="AM40" s="24">
        <f t="shared" si="103"/>
        <v>570958352</v>
      </c>
      <c r="AN40" s="24">
        <f t="shared" si="104"/>
        <v>1359511552</v>
      </c>
      <c r="AO40" s="24">
        <f t="shared" si="105"/>
        <v>2632048108</v>
      </c>
      <c r="AP40" s="24">
        <f t="shared" si="106"/>
        <v>41314959</v>
      </c>
      <c r="AQ40" s="24">
        <f t="shared" si="107"/>
        <v>279005452</v>
      </c>
      <c r="AR40" s="24">
        <f t="shared" si="108"/>
        <v>33710592</v>
      </c>
      <c r="AS40" s="24">
        <f t="shared" si="109"/>
        <v>2371130611</v>
      </c>
      <c r="AT40" s="24">
        <f t="shared" si="110"/>
        <v>3237744095</v>
      </c>
      <c r="AU40" s="24">
        <f t="shared" si="111"/>
        <v>2181436016</v>
      </c>
      <c r="AV40" s="24">
        <f t="shared" si="112"/>
        <v>1141117030</v>
      </c>
      <c r="AW40" s="24">
        <f t="shared" si="113"/>
        <v>272171142</v>
      </c>
      <c r="AX40" s="24">
        <f t="shared" si="114"/>
        <v>51585288</v>
      </c>
      <c r="BA40" s="24">
        <f t="shared" si="115"/>
        <v>2453607158</v>
      </c>
      <c r="BB40" s="24">
        <f t="shared" si="116"/>
        <v>1192702318</v>
      </c>
      <c r="BC40" s="24">
        <f t="shared" si="117"/>
        <v>18063360</v>
      </c>
      <c r="BD40" s="24">
        <f t="shared" si="118"/>
        <v>302287168</v>
      </c>
      <c r="BE40" s="24">
        <f t="shared" si="119"/>
        <v>86122496</v>
      </c>
      <c r="BF40" s="24">
        <f t="shared" si="120"/>
        <v>2181073345</v>
      </c>
      <c r="BG40" s="24">
        <f t="shared" si="121"/>
        <v>688271878</v>
      </c>
      <c r="BH40" s="24">
        <f t="shared" si="122"/>
        <v>637569352</v>
      </c>
      <c r="BI40" s="24">
        <f t="shared" si="123"/>
        <v>16916480</v>
      </c>
      <c r="BJ40" s="24">
        <f t="shared" si="124"/>
        <v>33589568</v>
      </c>
      <c r="BK40" s="24">
        <f t="shared" si="125"/>
        <v>758624774</v>
      </c>
      <c r="BL40" s="24">
        <f t="shared" si="126"/>
        <v>3053750729</v>
      </c>
      <c r="BM40" s="24">
        <f>MOD(R39+AF40+BB40+'📦 Константы SHA-512'!D38+BI234,4294967296)</f>
        <v>3888202154</v>
      </c>
      <c r="BN40" s="24">
        <f>INT((R39+AF40+BB40+'📦 Константы SHA-512'!D38+BI234)/4294967296)</f>
        <v>1</v>
      </c>
      <c r="BO40" s="24">
        <f>MOD(Q39+AE40+BA40+'📦 Константы SHA-512'!C38+BH234+BN40,4294967296)</f>
        <v>594170999</v>
      </c>
      <c r="BP40" s="24" t="s">
        <v>332</v>
      </c>
      <c r="BQ40" s="24">
        <f t="shared" si="127"/>
        <v>1996527528</v>
      </c>
      <c r="BR40" s="24">
        <f t="shared" si="128"/>
        <v>1</v>
      </c>
      <c r="BS40" s="24">
        <f t="shared" si="129"/>
        <v>3129755386</v>
      </c>
      <c r="BU40" s="24">
        <f t="shared" si="130"/>
        <v>858061471</v>
      </c>
      <c r="BV40" s="24">
        <f t="shared" si="131"/>
        <v>2273498368</v>
      </c>
      <c r="BW40" s="24">
        <f t="shared" si="132"/>
        <v>3723926386</v>
      </c>
      <c r="BX40" s="24">
        <f t="shared" si="133"/>
        <v>1589762386</v>
      </c>
    </row>
    <row r="41" spans="2:76" ht="12.75" customHeight="1" x14ac:dyDescent="0.25">
      <c r="B41" s="52">
        <v>36</v>
      </c>
      <c r="C41" s="30">
        <f t="shared" si="67"/>
        <v>594446008</v>
      </c>
      <c r="D41" s="30">
        <f t="shared" si="68"/>
        <v>2099122109</v>
      </c>
      <c r="E41" s="30">
        <f t="shared" si="69"/>
        <v>3723926386</v>
      </c>
      <c r="F41" s="30">
        <f t="shared" si="70"/>
        <v>1589762386</v>
      </c>
      <c r="G41" s="30">
        <f t="shared" si="71"/>
        <v>1161013256</v>
      </c>
      <c r="H41" s="30">
        <f t="shared" si="72"/>
        <v>3668217825</v>
      </c>
      <c r="I41" s="30">
        <f t="shared" si="73"/>
        <v>689959463</v>
      </c>
      <c r="J41" s="30">
        <f t="shared" si="74"/>
        <v>907839838</v>
      </c>
      <c r="K41" s="30">
        <f t="shared" si="75"/>
        <v>1728880096</v>
      </c>
      <c r="L41" s="30">
        <f t="shared" si="76"/>
        <v>4159513445</v>
      </c>
      <c r="M41" s="30">
        <f t="shared" si="77"/>
        <v>858061471</v>
      </c>
      <c r="N41" s="30">
        <f t="shared" si="78"/>
        <v>2273498368</v>
      </c>
      <c r="O41" s="30">
        <f t="shared" si="79"/>
        <v>3280387953</v>
      </c>
      <c r="P41" s="30">
        <f t="shared" si="80"/>
        <v>4236515063</v>
      </c>
      <c r="Q41" s="30">
        <f t="shared" si="81"/>
        <v>2654425720</v>
      </c>
      <c r="R41" s="30">
        <f t="shared" si="82"/>
        <v>1175804006</v>
      </c>
      <c r="S41" s="24">
        <f t="shared" si="83"/>
        <v>1409338515</v>
      </c>
      <c r="T41" s="24">
        <f t="shared" si="84"/>
        <v>3934133771</v>
      </c>
      <c r="U41" s="24">
        <f t="shared" si="85"/>
        <v>3040873673</v>
      </c>
      <c r="V41" s="24">
        <f t="shared" si="86"/>
        <v>1051189728</v>
      </c>
      <c r="W41" s="24">
        <f t="shared" si="87"/>
        <v>1338229098</v>
      </c>
      <c r="X41" s="24">
        <f t="shared" si="88"/>
        <v>2149159549</v>
      </c>
      <c r="Y41" s="24">
        <f t="shared" si="89"/>
        <v>335547521</v>
      </c>
      <c r="Z41" s="24">
        <f t="shared" si="90"/>
        <v>707133440</v>
      </c>
      <c r="AA41" s="24">
        <f t="shared" si="91"/>
        <v>3779117146</v>
      </c>
      <c r="AB41" s="24">
        <f t="shared" si="92"/>
        <v>3571056619</v>
      </c>
      <c r="AC41" s="24">
        <f t="shared" si="93"/>
        <v>1094762570</v>
      </c>
      <c r="AD41" s="24">
        <f t="shared" si="94"/>
        <v>2149159529</v>
      </c>
      <c r="AE41" s="24">
        <f t="shared" si="95"/>
        <v>2927821104</v>
      </c>
      <c r="AF41" s="24">
        <f t="shared" si="96"/>
        <v>1421897110</v>
      </c>
      <c r="AG41" s="24">
        <f t="shared" si="97"/>
        <v>3961361709</v>
      </c>
      <c r="AH41" s="24">
        <f t="shared" si="98"/>
        <v>3748247333</v>
      </c>
      <c r="AI41" s="24">
        <f t="shared" si="99"/>
        <v>2544924244</v>
      </c>
      <c r="AJ41" s="24">
        <f t="shared" si="100"/>
        <v>3078465244</v>
      </c>
      <c r="AK41" s="24">
        <f t="shared" si="101"/>
        <v>3837625266</v>
      </c>
      <c r="AL41" s="24">
        <f t="shared" si="102"/>
        <v>2780556598</v>
      </c>
      <c r="AM41" s="24">
        <f t="shared" si="103"/>
        <v>2215646212</v>
      </c>
      <c r="AN41" s="24">
        <f t="shared" si="104"/>
        <v>2540283396</v>
      </c>
      <c r="AO41" s="24">
        <f t="shared" si="105"/>
        <v>2074993529</v>
      </c>
      <c r="AP41" s="24">
        <f t="shared" si="106"/>
        <v>1746145785</v>
      </c>
      <c r="AQ41" s="24">
        <f t="shared" si="107"/>
        <v>1621984048</v>
      </c>
      <c r="AR41" s="24">
        <f t="shared" si="108"/>
        <v>537919792</v>
      </c>
      <c r="AS41" s="24">
        <f t="shared" si="109"/>
        <v>2668650699</v>
      </c>
      <c r="AT41" s="24">
        <f t="shared" si="110"/>
        <v>3450862799</v>
      </c>
      <c r="AU41" s="24">
        <f t="shared" si="111"/>
        <v>50641425</v>
      </c>
      <c r="AV41" s="24">
        <f t="shared" si="112"/>
        <v>2222986240</v>
      </c>
      <c r="AW41" s="24">
        <f t="shared" si="113"/>
        <v>2350055520</v>
      </c>
      <c r="AX41" s="24">
        <f t="shared" si="114"/>
        <v>1075120230</v>
      </c>
      <c r="BA41" s="24">
        <f t="shared" si="115"/>
        <v>2400696945</v>
      </c>
      <c r="BB41" s="24">
        <f t="shared" si="116"/>
        <v>3298106470</v>
      </c>
      <c r="BC41" s="24">
        <f t="shared" si="117"/>
        <v>1160939520</v>
      </c>
      <c r="BD41" s="24">
        <f t="shared" si="118"/>
        <v>1518373184</v>
      </c>
      <c r="BE41" s="24">
        <f t="shared" si="119"/>
        <v>152474146</v>
      </c>
      <c r="BF41" s="24">
        <f t="shared" si="120"/>
        <v>369133906</v>
      </c>
      <c r="BG41" s="24">
        <f t="shared" si="121"/>
        <v>18063360</v>
      </c>
      <c r="BH41" s="24">
        <f t="shared" si="122"/>
        <v>302287168</v>
      </c>
      <c r="BI41" s="24">
        <f t="shared" si="123"/>
        <v>17989632</v>
      </c>
      <c r="BJ41" s="24">
        <f t="shared" si="124"/>
        <v>302025024</v>
      </c>
      <c r="BK41" s="24">
        <f t="shared" si="125"/>
        <v>1295497762</v>
      </c>
      <c r="BL41" s="24">
        <f t="shared" si="126"/>
        <v>1585744210</v>
      </c>
      <c r="BM41" s="24">
        <f>MOD(R40+AF41+BB41+'📦 Константы SHA-512'!D39+BI235,4294967296)</f>
        <v>1357482396</v>
      </c>
      <c r="BN41" s="24">
        <f>INT((R40+AF41+BB41+'📦 Константы SHA-512'!D39+BI235)/4294967296)</f>
        <v>2</v>
      </c>
      <c r="BO41" s="24">
        <f>MOD(Q40+AE41+BA41+'📦 Константы SHA-512'!C39+BH235+BN41,4294967296)</f>
        <v>925264842</v>
      </c>
      <c r="BP41" s="24" t="s">
        <v>333</v>
      </c>
      <c r="BQ41" s="24">
        <f t="shared" si="127"/>
        <v>741639713</v>
      </c>
      <c r="BR41" s="24">
        <f t="shared" si="128"/>
        <v>1</v>
      </c>
      <c r="BS41" s="24">
        <f t="shared" si="129"/>
        <v>3964148462</v>
      </c>
      <c r="BU41" s="24">
        <f t="shared" si="130"/>
        <v>1728880096</v>
      </c>
      <c r="BV41" s="24">
        <f t="shared" si="131"/>
        <v>4159513445</v>
      </c>
      <c r="BW41" s="24">
        <f t="shared" si="132"/>
        <v>594446008</v>
      </c>
      <c r="BX41" s="24">
        <f t="shared" si="133"/>
        <v>2099122109</v>
      </c>
    </row>
    <row r="42" spans="2:76" ht="12.75" customHeight="1" x14ac:dyDescent="0.25">
      <c r="B42" s="25">
        <v>37</v>
      </c>
      <c r="C42" s="32">
        <f t="shared" si="67"/>
        <v>923569051</v>
      </c>
      <c r="D42" s="32">
        <f t="shared" si="68"/>
        <v>2656341691</v>
      </c>
      <c r="E42" s="32">
        <f t="shared" si="69"/>
        <v>594446008</v>
      </c>
      <c r="F42" s="32">
        <f t="shared" si="70"/>
        <v>2099122109</v>
      </c>
      <c r="G42" s="32">
        <f t="shared" si="71"/>
        <v>3723926386</v>
      </c>
      <c r="H42" s="32">
        <f t="shared" si="72"/>
        <v>1589762386</v>
      </c>
      <c r="I42" s="32">
        <f t="shared" si="73"/>
        <v>1161013256</v>
      </c>
      <c r="J42" s="32">
        <f t="shared" si="74"/>
        <v>3668217825</v>
      </c>
      <c r="K42" s="32">
        <f t="shared" si="75"/>
        <v>1549315944</v>
      </c>
      <c r="L42" s="32">
        <f t="shared" si="76"/>
        <v>1903653124</v>
      </c>
      <c r="M42" s="32">
        <f t="shared" si="77"/>
        <v>1728880096</v>
      </c>
      <c r="N42" s="32">
        <f t="shared" si="78"/>
        <v>4159513445</v>
      </c>
      <c r="O42" s="32">
        <f t="shared" si="79"/>
        <v>858061471</v>
      </c>
      <c r="P42" s="32">
        <f t="shared" si="80"/>
        <v>2273498368</v>
      </c>
      <c r="Q42" s="32">
        <f t="shared" si="81"/>
        <v>3280387953</v>
      </c>
      <c r="R42" s="32">
        <f t="shared" si="82"/>
        <v>4236515063</v>
      </c>
      <c r="S42" s="24">
        <f t="shared" si="83"/>
        <v>2375392306</v>
      </c>
      <c r="T42" s="24">
        <f t="shared" si="84"/>
        <v>2005131188</v>
      </c>
      <c r="U42" s="24">
        <f t="shared" si="85"/>
        <v>1222203843</v>
      </c>
      <c r="V42" s="24">
        <f t="shared" si="86"/>
        <v>662191611</v>
      </c>
      <c r="W42" s="24">
        <f t="shared" si="87"/>
        <v>4034655889</v>
      </c>
      <c r="X42" s="24">
        <f t="shared" si="88"/>
        <v>2998109774</v>
      </c>
      <c r="Y42" s="24">
        <f t="shared" si="89"/>
        <v>143726594</v>
      </c>
      <c r="Z42" s="24">
        <f t="shared" si="90"/>
        <v>654319024</v>
      </c>
      <c r="AA42" s="24">
        <f t="shared" si="91"/>
        <v>3310142961</v>
      </c>
      <c r="AB42" s="24">
        <f t="shared" si="92"/>
        <v>1358684751</v>
      </c>
      <c r="AC42" s="24">
        <f t="shared" si="93"/>
        <v>3225994385</v>
      </c>
      <c r="AD42" s="24">
        <f t="shared" si="94"/>
        <v>280199758</v>
      </c>
      <c r="AE42" s="24">
        <f t="shared" si="95"/>
        <v>892810080</v>
      </c>
      <c r="AF42" s="24">
        <f t="shared" si="96"/>
        <v>3796395009</v>
      </c>
      <c r="AG42" s="24">
        <f t="shared" si="97"/>
        <v>3521182674</v>
      </c>
      <c r="AH42" s="24">
        <f t="shared" si="98"/>
        <v>921201543</v>
      </c>
      <c r="AI42" s="24">
        <f t="shared" si="99"/>
        <v>524780527</v>
      </c>
      <c r="AJ42" s="24">
        <f t="shared" si="100"/>
        <v>1222353326</v>
      </c>
      <c r="AK42" s="24">
        <f t="shared" si="101"/>
        <v>1895447583</v>
      </c>
      <c r="AL42" s="24">
        <f t="shared" si="102"/>
        <v>2051464461</v>
      </c>
      <c r="AM42" s="24">
        <f t="shared" si="103"/>
        <v>289440706</v>
      </c>
      <c r="AN42" s="24">
        <f t="shared" si="104"/>
        <v>13115782</v>
      </c>
      <c r="AO42" s="24">
        <f t="shared" si="105"/>
        <v>3467081789</v>
      </c>
      <c r="AP42" s="24">
        <f t="shared" si="106"/>
        <v>2117323305</v>
      </c>
      <c r="AQ42" s="24">
        <f t="shared" si="107"/>
        <v>1084373021</v>
      </c>
      <c r="AR42" s="24">
        <f t="shared" si="108"/>
        <v>2047002633</v>
      </c>
      <c r="AS42" s="24">
        <f t="shared" si="109"/>
        <v>3193783330</v>
      </c>
      <c r="AT42" s="24">
        <f t="shared" si="110"/>
        <v>74782500</v>
      </c>
      <c r="AU42" s="24">
        <f t="shared" si="111"/>
        <v>587503744</v>
      </c>
      <c r="AV42" s="24">
        <f t="shared" si="112"/>
        <v>2273313024</v>
      </c>
      <c r="AW42" s="24">
        <f t="shared" si="113"/>
        <v>2156012049</v>
      </c>
      <c r="AX42" s="24">
        <f t="shared" si="114"/>
        <v>134222994</v>
      </c>
      <c r="BA42" s="24">
        <f t="shared" si="115"/>
        <v>2743515793</v>
      </c>
      <c r="BB42" s="24">
        <f t="shared" si="116"/>
        <v>2407536018</v>
      </c>
      <c r="BC42" s="24">
        <f t="shared" si="117"/>
        <v>23495216</v>
      </c>
      <c r="BD42" s="24">
        <f t="shared" si="118"/>
        <v>1543506192</v>
      </c>
      <c r="BE42" s="24">
        <f t="shared" si="119"/>
        <v>19038216</v>
      </c>
      <c r="BF42" s="24">
        <f t="shared" si="120"/>
        <v>1476661153</v>
      </c>
      <c r="BG42" s="24">
        <f t="shared" si="121"/>
        <v>1160939520</v>
      </c>
      <c r="BH42" s="24">
        <f t="shared" si="122"/>
        <v>1518373184</v>
      </c>
      <c r="BI42" s="24">
        <f t="shared" si="123"/>
        <v>19038208</v>
      </c>
      <c r="BJ42" s="24">
        <f t="shared" si="124"/>
        <v>1476397312</v>
      </c>
      <c r="BK42" s="24">
        <f t="shared" si="125"/>
        <v>1165396536</v>
      </c>
      <c r="BL42" s="24">
        <f t="shared" si="126"/>
        <v>1585745905</v>
      </c>
      <c r="BM42" s="24">
        <f>MOD(R41+AF42+BB42+'📦 Константы SHA-512'!D40+BI236,4294967296)</f>
        <v>995813286</v>
      </c>
      <c r="BN42" s="24">
        <f>INT((R41+AF42+BB42+'📦 Константы SHA-512'!D40+BI236)/4294967296)</f>
        <v>3</v>
      </c>
      <c r="BO42" s="24">
        <f>MOD(Q41+AE42+BA42+'📦 Константы SHA-512'!C40+BH236+BN42,4294967296)</f>
        <v>859356481</v>
      </c>
      <c r="BP42" s="24" t="s">
        <v>334</v>
      </c>
      <c r="BQ42" s="24">
        <f t="shared" si="127"/>
        <v>1660528405</v>
      </c>
      <c r="BR42" s="24">
        <f t="shared" si="128"/>
        <v>0</v>
      </c>
      <c r="BS42" s="24">
        <f t="shared" si="129"/>
        <v>64212570</v>
      </c>
      <c r="BU42" s="24">
        <f t="shared" si="130"/>
        <v>1549315944</v>
      </c>
      <c r="BV42" s="24">
        <f t="shared" si="131"/>
        <v>1903653124</v>
      </c>
      <c r="BW42" s="24">
        <f t="shared" si="132"/>
        <v>923569051</v>
      </c>
      <c r="BX42" s="24">
        <f t="shared" si="133"/>
        <v>2656341691</v>
      </c>
    </row>
    <row r="43" spans="2:76" ht="12.75" customHeight="1" x14ac:dyDescent="0.25">
      <c r="B43" s="27">
        <v>38</v>
      </c>
      <c r="C43" s="34">
        <f t="shared" si="67"/>
        <v>3762733969</v>
      </c>
      <c r="D43" s="34">
        <f t="shared" si="68"/>
        <v>1559642099</v>
      </c>
      <c r="E43" s="34">
        <f t="shared" si="69"/>
        <v>923569051</v>
      </c>
      <c r="F43" s="34">
        <f t="shared" si="70"/>
        <v>2656341691</v>
      </c>
      <c r="G43" s="34">
        <f t="shared" si="71"/>
        <v>594446008</v>
      </c>
      <c r="H43" s="34">
        <f t="shared" si="72"/>
        <v>2099122109</v>
      </c>
      <c r="I43" s="34">
        <f t="shared" si="73"/>
        <v>3723926386</v>
      </c>
      <c r="J43" s="34">
        <f t="shared" si="74"/>
        <v>1589762386</v>
      </c>
      <c r="K43" s="34">
        <f t="shared" si="75"/>
        <v>3089792735</v>
      </c>
      <c r="L43" s="34">
        <f t="shared" si="76"/>
        <v>232832465</v>
      </c>
      <c r="M43" s="34">
        <f t="shared" si="77"/>
        <v>1549315944</v>
      </c>
      <c r="N43" s="34">
        <f t="shared" si="78"/>
        <v>1903653124</v>
      </c>
      <c r="O43" s="34">
        <f t="shared" si="79"/>
        <v>1728880096</v>
      </c>
      <c r="P43" s="34">
        <f t="shared" si="80"/>
        <v>4159513445</v>
      </c>
      <c r="Q43" s="34">
        <f t="shared" si="81"/>
        <v>858061471</v>
      </c>
      <c r="R43" s="34">
        <f t="shared" si="82"/>
        <v>2273498368</v>
      </c>
      <c r="S43" s="24">
        <f t="shared" si="83"/>
        <v>3289477474</v>
      </c>
      <c r="T43" s="24">
        <f t="shared" si="84"/>
        <v>3181495773</v>
      </c>
      <c r="U43" s="24">
        <f t="shared" si="85"/>
        <v>3695253270</v>
      </c>
      <c r="V43" s="24">
        <f t="shared" si="86"/>
        <v>735714397</v>
      </c>
      <c r="W43" s="24">
        <f t="shared" si="87"/>
        <v>3023616952</v>
      </c>
      <c r="X43" s="24">
        <f t="shared" si="88"/>
        <v>2184064087</v>
      </c>
      <c r="Y43" s="24">
        <f t="shared" si="89"/>
        <v>3288404226</v>
      </c>
      <c r="Z43" s="24">
        <f t="shared" si="90"/>
        <v>696255581</v>
      </c>
      <c r="AA43" s="24">
        <f t="shared" si="91"/>
        <v>407922292</v>
      </c>
      <c r="AB43" s="24">
        <f t="shared" si="92"/>
        <v>2524699008</v>
      </c>
      <c r="AC43" s="24">
        <f t="shared" si="93"/>
        <v>269492784</v>
      </c>
      <c r="AD43" s="24">
        <f t="shared" si="94"/>
        <v>2183792640</v>
      </c>
      <c r="AE43" s="24">
        <f t="shared" si="95"/>
        <v>2892553676</v>
      </c>
      <c r="AF43" s="24">
        <f t="shared" si="96"/>
        <v>341177815</v>
      </c>
      <c r="AG43" s="24">
        <f t="shared" si="97"/>
        <v>3846761395</v>
      </c>
      <c r="AH43" s="24">
        <f t="shared" si="98"/>
        <v>1892202937</v>
      </c>
      <c r="AI43" s="24">
        <f t="shared" si="99"/>
        <v>3885310894</v>
      </c>
      <c r="AJ43" s="24">
        <f t="shared" si="100"/>
        <v>3452117734</v>
      </c>
      <c r="AK43" s="24">
        <f t="shared" si="101"/>
        <v>926722333</v>
      </c>
      <c r="AL43" s="24">
        <f t="shared" si="102"/>
        <v>1986926871</v>
      </c>
      <c r="AM43" s="24">
        <f t="shared" si="103"/>
        <v>3841991586</v>
      </c>
      <c r="AN43" s="24">
        <f t="shared" si="104"/>
        <v>1086333088</v>
      </c>
      <c r="AO43" s="24">
        <f t="shared" si="105"/>
        <v>48089117</v>
      </c>
      <c r="AP43" s="24">
        <f t="shared" si="106"/>
        <v>3171654495</v>
      </c>
      <c r="AQ43" s="24">
        <f t="shared" si="107"/>
        <v>35424285</v>
      </c>
      <c r="AR43" s="24">
        <f t="shared" si="108"/>
        <v>873077015</v>
      </c>
      <c r="AS43" s="24">
        <f t="shared" si="109"/>
        <v>903962880</v>
      </c>
      <c r="AT43" s="24">
        <f t="shared" si="110"/>
        <v>3412427336</v>
      </c>
      <c r="AU43" s="24">
        <f t="shared" si="111"/>
        <v>1141411168</v>
      </c>
      <c r="AV43" s="24">
        <f t="shared" si="112"/>
        <v>1902452996</v>
      </c>
      <c r="AW43" s="24">
        <f t="shared" si="113"/>
        <v>589582487</v>
      </c>
      <c r="AX43" s="24">
        <f t="shared" si="114"/>
        <v>2256569344</v>
      </c>
      <c r="BA43" s="24">
        <f t="shared" si="115"/>
        <v>1730993655</v>
      </c>
      <c r="BB43" s="24">
        <f t="shared" si="116"/>
        <v>4159022340</v>
      </c>
      <c r="BC43" s="24">
        <f t="shared" si="117"/>
        <v>588022424</v>
      </c>
      <c r="BD43" s="24">
        <f t="shared" si="118"/>
        <v>471076537</v>
      </c>
      <c r="BE43" s="24">
        <f t="shared" si="119"/>
        <v>352619282</v>
      </c>
      <c r="BF43" s="24">
        <f t="shared" si="120"/>
        <v>507545618</v>
      </c>
      <c r="BG43" s="24">
        <f t="shared" si="121"/>
        <v>23495216</v>
      </c>
      <c r="BH43" s="24">
        <f t="shared" si="122"/>
        <v>1543506192</v>
      </c>
      <c r="BI43" s="24">
        <f t="shared" si="123"/>
        <v>17072656</v>
      </c>
      <c r="BJ43" s="24">
        <f t="shared" si="124"/>
        <v>469764112</v>
      </c>
      <c r="BK43" s="24">
        <f t="shared" si="125"/>
        <v>929991610</v>
      </c>
      <c r="BL43" s="24">
        <f t="shared" si="126"/>
        <v>1582600123</v>
      </c>
      <c r="BM43" s="24">
        <f>MOD(R42+AF43+BB43+'📦 Константы SHA-512'!D41+BI237,4294967296)</f>
        <v>859581936</v>
      </c>
      <c r="BN43" s="24">
        <f>INT((R42+AF43+BB43+'📦 Константы SHA-512'!D41+BI237)/4294967296)</f>
        <v>3</v>
      </c>
      <c r="BO43" s="24">
        <f>MOD(Q42+AE43+BA43+'📦 Константы SHA-512'!C41+BH237+BN43,4294967296)</f>
        <v>1928779478</v>
      </c>
      <c r="BP43" s="24" t="s">
        <v>335</v>
      </c>
      <c r="BQ43" s="24">
        <f t="shared" si="127"/>
        <v>700060163</v>
      </c>
      <c r="BR43" s="24">
        <f t="shared" si="128"/>
        <v>1</v>
      </c>
      <c r="BS43" s="24">
        <f t="shared" si="129"/>
        <v>1833954491</v>
      </c>
      <c r="BU43" s="24">
        <f t="shared" si="130"/>
        <v>3089792735</v>
      </c>
      <c r="BV43" s="24">
        <f t="shared" si="131"/>
        <v>232832465</v>
      </c>
      <c r="BW43" s="24">
        <f t="shared" si="132"/>
        <v>3762733969</v>
      </c>
      <c r="BX43" s="24">
        <f t="shared" si="133"/>
        <v>1559642099</v>
      </c>
    </row>
    <row r="44" spans="2:76" ht="12.75" customHeight="1" x14ac:dyDescent="0.25">
      <c r="B44" s="29">
        <v>39</v>
      </c>
      <c r="C44" s="36">
        <f t="shared" si="67"/>
        <v>41317518</v>
      </c>
      <c r="D44" s="36">
        <f t="shared" si="68"/>
        <v>469073889</v>
      </c>
      <c r="E44" s="36">
        <f t="shared" si="69"/>
        <v>3762733969</v>
      </c>
      <c r="F44" s="36">
        <f t="shared" si="70"/>
        <v>1559642099</v>
      </c>
      <c r="G44" s="36">
        <f t="shared" si="71"/>
        <v>923569051</v>
      </c>
      <c r="H44" s="36">
        <f t="shared" si="72"/>
        <v>2656341691</v>
      </c>
      <c r="I44" s="36">
        <f t="shared" si="73"/>
        <v>594446008</v>
      </c>
      <c r="J44" s="36">
        <f t="shared" si="74"/>
        <v>2099122109</v>
      </c>
      <c r="K44" s="36">
        <f t="shared" si="75"/>
        <v>37154730</v>
      </c>
      <c r="L44" s="36">
        <f t="shared" si="76"/>
        <v>44320002</v>
      </c>
      <c r="M44" s="36">
        <f t="shared" si="77"/>
        <v>3089792735</v>
      </c>
      <c r="N44" s="36">
        <f t="shared" si="78"/>
        <v>232832465</v>
      </c>
      <c r="O44" s="36">
        <f t="shared" si="79"/>
        <v>1549315944</v>
      </c>
      <c r="P44" s="36">
        <f t="shared" si="80"/>
        <v>1903653124</v>
      </c>
      <c r="Q44" s="36">
        <f t="shared" si="81"/>
        <v>1728880096</v>
      </c>
      <c r="R44" s="36">
        <f t="shared" si="82"/>
        <v>4159513445</v>
      </c>
      <c r="S44" s="24">
        <f t="shared" si="83"/>
        <v>4148617385</v>
      </c>
      <c r="T44" s="24">
        <f t="shared" si="84"/>
        <v>4219221890</v>
      </c>
      <c r="U44" s="24">
        <f t="shared" si="85"/>
        <v>796159498</v>
      </c>
      <c r="V44" s="24">
        <f t="shared" si="86"/>
        <v>2679620472</v>
      </c>
      <c r="W44" s="24">
        <f t="shared" si="87"/>
        <v>1871114334</v>
      </c>
      <c r="X44" s="24">
        <f t="shared" si="88"/>
        <v>3906737471</v>
      </c>
      <c r="Y44" s="24">
        <f t="shared" si="89"/>
        <v>658792456</v>
      </c>
      <c r="Z44" s="24">
        <f t="shared" si="90"/>
        <v>2603877120</v>
      </c>
      <c r="AA44" s="24">
        <f t="shared" si="91"/>
        <v>3627191971</v>
      </c>
      <c r="AB44" s="24">
        <f t="shared" si="92"/>
        <v>1691088122</v>
      </c>
      <c r="AC44" s="24">
        <f t="shared" si="93"/>
        <v>1208123394</v>
      </c>
      <c r="AD44" s="24">
        <f t="shared" si="94"/>
        <v>1623725114</v>
      </c>
      <c r="AE44" s="24">
        <f t="shared" si="95"/>
        <v>3082059517</v>
      </c>
      <c r="AF44" s="24">
        <f t="shared" si="96"/>
        <v>2350375365</v>
      </c>
      <c r="AG44" s="24">
        <f t="shared" si="97"/>
        <v>3479437118</v>
      </c>
      <c r="AH44" s="24">
        <f t="shared" si="98"/>
        <v>74201365</v>
      </c>
      <c r="AI44" s="24">
        <f t="shared" si="99"/>
        <v>1463652348</v>
      </c>
      <c r="AJ44" s="24">
        <f t="shared" si="100"/>
        <v>4161908964</v>
      </c>
      <c r="AK44" s="24">
        <f t="shared" si="101"/>
        <v>582610047</v>
      </c>
      <c r="AL44" s="24">
        <f t="shared" si="102"/>
        <v>3888156039</v>
      </c>
      <c r="AM44" s="24">
        <f t="shared" si="103"/>
        <v>1193381692</v>
      </c>
      <c r="AN44" s="24">
        <f t="shared" si="104"/>
        <v>12292</v>
      </c>
      <c r="AO44" s="24">
        <f t="shared" si="105"/>
        <v>2556326082</v>
      </c>
      <c r="AP44" s="24">
        <f t="shared" si="106"/>
        <v>4236085745</v>
      </c>
      <c r="AQ44" s="24">
        <f t="shared" si="107"/>
        <v>1597506</v>
      </c>
      <c r="AR44" s="24">
        <f t="shared" si="108"/>
        <v>3829434753</v>
      </c>
      <c r="AS44" s="24">
        <f t="shared" si="109"/>
        <v>3135741117</v>
      </c>
      <c r="AT44" s="24">
        <f t="shared" si="110"/>
        <v>465372278</v>
      </c>
      <c r="AU44" s="24">
        <f t="shared" si="111"/>
        <v>403189320</v>
      </c>
      <c r="AV44" s="24">
        <f t="shared" si="112"/>
        <v>23081216</v>
      </c>
      <c r="AW44" s="24">
        <f t="shared" si="113"/>
        <v>1191477536</v>
      </c>
      <c r="AX44" s="24">
        <f t="shared" si="114"/>
        <v>4060938788</v>
      </c>
      <c r="BA44" s="24">
        <f t="shared" si="115"/>
        <v>1594666856</v>
      </c>
      <c r="BB44" s="24">
        <f t="shared" si="116"/>
        <v>4084020004</v>
      </c>
      <c r="BC44" s="24">
        <f t="shared" si="117"/>
        <v>537166737</v>
      </c>
      <c r="BD44" s="24">
        <f t="shared" si="118"/>
        <v>475270835</v>
      </c>
      <c r="BE44" s="24">
        <f t="shared" si="119"/>
        <v>541491856</v>
      </c>
      <c r="BF44" s="24">
        <f t="shared" si="120"/>
        <v>1544949681</v>
      </c>
      <c r="BG44" s="24">
        <f t="shared" si="121"/>
        <v>588022424</v>
      </c>
      <c r="BH44" s="24">
        <f t="shared" si="122"/>
        <v>471076537</v>
      </c>
      <c r="BI44" s="24">
        <f t="shared" si="123"/>
        <v>537166480</v>
      </c>
      <c r="BJ44" s="24">
        <f t="shared" si="124"/>
        <v>471076529</v>
      </c>
      <c r="BK44" s="24">
        <f t="shared" si="125"/>
        <v>592348057</v>
      </c>
      <c r="BL44" s="24">
        <f t="shared" si="126"/>
        <v>1549143995</v>
      </c>
      <c r="BM44" s="24">
        <f>MOD(R43+AF44+BB44+'📦 Константы SHA-512'!D42+BI238,4294967296)</f>
        <v>2749524912</v>
      </c>
      <c r="BN44" s="24">
        <f>INT((R43+AF44+BB44+'📦 Константы SHA-512'!D42+BI238)/4294967296)</f>
        <v>2</v>
      </c>
      <c r="BO44" s="24">
        <f>MOD(Q43+AE44+BA44+'📦 Константы SHA-512'!C42+BH238+BN44,4294967296)</f>
        <v>608195639</v>
      </c>
      <c r="BP44" s="24" t="s">
        <v>336</v>
      </c>
      <c r="BQ44" s="24">
        <f t="shared" si="127"/>
        <v>2014516273</v>
      </c>
      <c r="BR44" s="24">
        <f t="shared" si="128"/>
        <v>0</v>
      </c>
      <c r="BS44" s="24">
        <f t="shared" si="129"/>
        <v>3728089174</v>
      </c>
      <c r="BU44" s="24">
        <f t="shared" si="130"/>
        <v>37154730</v>
      </c>
      <c r="BV44" s="24">
        <f t="shared" si="131"/>
        <v>44320002</v>
      </c>
      <c r="BW44" s="24">
        <f t="shared" si="132"/>
        <v>41317518</v>
      </c>
      <c r="BX44" s="24">
        <f t="shared" si="133"/>
        <v>469073889</v>
      </c>
    </row>
    <row r="45" spans="2:76" ht="12.75" customHeight="1" x14ac:dyDescent="0.25">
      <c r="B45" s="31">
        <v>40</v>
      </c>
      <c r="C45" s="38">
        <f t="shared" si="67"/>
        <v>2689787420</v>
      </c>
      <c r="D45" s="38">
        <f t="shared" si="68"/>
        <v>3383235793</v>
      </c>
      <c r="E45" s="38">
        <f t="shared" si="69"/>
        <v>41317518</v>
      </c>
      <c r="F45" s="38">
        <f t="shared" si="70"/>
        <v>469073889</v>
      </c>
      <c r="G45" s="38">
        <f t="shared" si="71"/>
        <v>3762733969</v>
      </c>
      <c r="H45" s="38">
        <f t="shared" si="72"/>
        <v>1559642099</v>
      </c>
      <c r="I45" s="38">
        <f t="shared" si="73"/>
        <v>923569051</v>
      </c>
      <c r="J45" s="38">
        <f t="shared" si="74"/>
        <v>2656341691</v>
      </c>
      <c r="K45" s="38">
        <f t="shared" si="75"/>
        <v>2078105122</v>
      </c>
      <c r="L45" s="38">
        <f t="shared" si="76"/>
        <v>2178132848</v>
      </c>
      <c r="M45" s="38">
        <f t="shared" si="77"/>
        <v>37154730</v>
      </c>
      <c r="N45" s="38">
        <f t="shared" si="78"/>
        <v>44320002</v>
      </c>
      <c r="O45" s="38">
        <f t="shared" si="79"/>
        <v>3089792735</v>
      </c>
      <c r="P45" s="38">
        <f t="shared" si="80"/>
        <v>232832465</v>
      </c>
      <c r="Q45" s="38">
        <f t="shared" si="81"/>
        <v>1549315944</v>
      </c>
      <c r="R45" s="38">
        <f t="shared" si="82"/>
        <v>1903653124</v>
      </c>
      <c r="S45" s="24">
        <f t="shared" si="83"/>
        <v>336070875</v>
      </c>
      <c r="T45" s="24">
        <f t="shared" si="84"/>
        <v>3198683793</v>
      </c>
      <c r="U45" s="24">
        <f t="shared" si="85"/>
        <v>289439885</v>
      </c>
      <c r="V45" s="24">
        <f t="shared" si="86"/>
        <v>3152707753</v>
      </c>
      <c r="W45" s="24">
        <f t="shared" si="87"/>
        <v>3573633570</v>
      </c>
      <c r="X45" s="24">
        <f t="shared" si="88"/>
        <v>2164333431</v>
      </c>
      <c r="Y45" s="24">
        <f t="shared" si="89"/>
        <v>268435593</v>
      </c>
      <c r="Z45" s="24">
        <f t="shared" si="90"/>
        <v>3131572353</v>
      </c>
      <c r="AA45" s="24">
        <f t="shared" si="91"/>
        <v>88639574</v>
      </c>
      <c r="AB45" s="24">
        <f t="shared" si="92"/>
        <v>88246840</v>
      </c>
      <c r="AC45" s="24">
        <f t="shared" si="93"/>
        <v>83886082</v>
      </c>
      <c r="AD45" s="24">
        <f t="shared" si="94"/>
        <v>16779824</v>
      </c>
      <c r="AE45" s="24">
        <f t="shared" si="95"/>
        <v>3494500980</v>
      </c>
      <c r="AF45" s="24">
        <f t="shared" si="96"/>
        <v>2219020623</v>
      </c>
      <c r="AG45" s="24">
        <f t="shared" si="97"/>
        <v>3210214928</v>
      </c>
      <c r="AH45" s="24">
        <f t="shared" si="98"/>
        <v>661080289</v>
      </c>
      <c r="AI45" s="24">
        <f t="shared" si="99"/>
        <v>2264752120</v>
      </c>
      <c r="AJ45" s="24">
        <f t="shared" si="100"/>
        <v>1084071203</v>
      </c>
      <c r="AK45" s="24">
        <f t="shared" si="101"/>
        <v>473426687</v>
      </c>
      <c r="AL45" s="24">
        <f t="shared" si="102"/>
        <v>3255102697</v>
      </c>
      <c r="AM45" s="24">
        <f t="shared" si="103"/>
        <v>2253741584</v>
      </c>
      <c r="AN45" s="24">
        <f t="shared" si="104"/>
        <v>329761</v>
      </c>
      <c r="AO45" s="24">
        <f t="shared" si="105"/>
        <v>967483880</v>
      </c>
      <c r="AP45" s="24">
        <f t="shared" si="106"/>
        <v>1744491970</v>
      </c>
      <c r="AQ45" s="24">
        <f t="shared" si="107"/>
        <v>404922600</v>
      </c>
      <c r="AR45" s="24">
        <f t="shared" si="108"/>
        <v>1107346624</v>
      </c>
      <c r="AS45" s="24">
        <f t="shared" si="109"/>
        <v>631065367</v>
      </c>
      <c r="AT45" s="24">
        <f t="shared" si="110"/>
        <v>2784901419</v>
      </c>
      <c r="AU45" s="24">
        <f t="shared" si="111"/>
        <v>2256522</v>
      </c>
      <c r="AV45" s="24">
        <f t="shared" si="112"/>
        <v>10487040</v>
      </c>
      <c r="AW45" s="24">
        <f t="shared" si="113"/>
        <v>1548222528</v>
      </c>
      <c r="AX45" s="24">
        <f t="shared" si="114"/>
        <v>1901277188</v>
      </c>
      <c r="BA45" s="24">
        <f t="shared" si="115"/>
        <v>1550479050</v>
      </c>
      <c r="BB45" s="24">
        <f t="shared" si="116"/>
        <v>1911764228</v>
      </c>
      <c r="BC45" s="24">
        <f t="shared" si="117"/>
        <v>4604032</v>
      </c>
      <c r="BD45" s="24">
        <f t="shared" si="118"/>
        <v>418660321</v>
      </c>
      <c r="BE45" s="24">
        <f t="shared" si="119"/>
        <v>33816714</v>
      </c>
      <c r="BF45" s="24">
        <f t="shared" si="120"/>
        <v>441716385</v>
      </c>
      <c r="BG45" s="24">
        <f t="shared" si="121"/>
        <v>537166737</v>
      </c>
      <c r="BH45" s="24">
        <f t="shared" si="122"/>
        <v>475270835</v>
      </c>
      <c r="BI45" s="24">
        <f t="shared" si="123"/>
        <v>262272</v>
      </c>
      <c r="BJ45" s="24">
        <f t="shared" si="124"/>
        <v>408161953</v>
      </c>
      <c r="BK45" s="24">
        <f t="shared" si="125"/>
        <v>575062939</v>
      </c>
      <c r="BL45" s="24">
        <f t="shared" si="126"/>
        <v>519323635</v>
      </c>
      <c r="BM45" s="24">
        <f>MOD(R44+AF45+BB45+'📦 Константы SHA-512'!D43+BI239,4294967296)</f>
        <v>79010739</v>
      </c>
      <c r="BN45" s="24">
        <f>INT((R44+AF45+BB45+'📦 Константы SHA-512'!D43+BI239)/4294967296)</f>
        <v>2</v>
      </c>
      <c r="BO45" s="24">
        <f>MOD(Q44+AE45+BA45+'📦 Константы SHA-512'!C43+BH239+BN45,4294967296)</f>
        <v>1483659114</v>
      </c>
      <c r="BP45" s="24" t="s">
        <v>337</v>
      </c>
      <c r="BQ45" s="24">
        <f t="shared" si="127"/>
        <v>3304225054</v>
      </c>
      <c r="BR45" s="24">
        <f t="shared" si="128"/>
        <v>0</v>
      </c>
      <c r="BS45" s="24">
        <f t="shared" si="129"/>
        <v>1206128306</v>
      </c>
      <c r="BU45" s="24">
        <f t="shared" si="130"/>
        <v>2078105122</v>
      </c>
      <c r="BV45" s="24">
        <f t="shared" si="131"/>
        <v>2178132848</v>
      </c>
      <c r="BW45" s="24">
        <f t="shared" si="132"/>
        <v>2689787420</v>
      </c>
      <c r="BX45" s="24">
        <f t="shared" si="133"/>
        <v>3383235793</v>
      </c>
    </row>
    <row r="46" spans="2:76" ht="12.75" customHeight="1" x14ac:dyDescent="0.25">
      <c r="B46" s="22">
        <v>41</v>
      </c>
      <c r="C46" s="40">
        <f t="shared" si="67"/>
        <v>4053652829</v>
      </c>
      <c r="D46" s="40">
        <f t="shared" si="68"/>
        <v>2065389155</v>
      </c>
      <c r="E46" s="40">
        <f t="shared" si="69"/>
        <v>2689787420</v>
      </c>
      <c r="F46" s="40">
        <f t="shared" si="70"/>
        <v>3383235793</v>
      </c>
      <c r="G46" s="40">
        <f t="shared" si="71"/>
        <v>41317518</v>
      </c>
      <c r="H46" s="40">
        <f t="shared" si="72"/>
        <v>469073889</v>
      </c>
      <c r="I46" s="40">
        <f t="shared" si="73"/>
        <v>3762733969</v>
      </c>
      <c r="J46" s="40">
        <f t="shared" si="74"/>
        <v>1559642099</v>
      </c>
      <c r="K46" s="40">
        <f t="shared" si="75"/>
        <v>4141572692</v>
      </c>
      <c r="L46" s="40">
        <f t="shared" si="76"/>
        <v>4043384742</v>
      </c>
      <c r="M46" s="40">
        <f t="shared" si="77"/>
        <v>2078105122</v>
      </c>
      <c r="N46" s="40">
        <f t="shared" si="78"/>
        <v>2178132848</v>
      </c>
      <c r="O46" s="40">
        <f t="shared" si="79"/>
        <v>37154730</v>
      </c>
      <c r="P46" s="40">
        <f t="shared" si="80"/>
        <v>44320002</v>
      </c>
      <c r="Q46" s="40">
        <f t="shared" si="81"/>
        <v>3089792735</v>
      </c>
      <c r="R46" s="40">
        <f t="shared" si="82"/>
        <v>232832465</v>
      </c>
      <c r="S46" s="24">
        <f t="shared" si="83"/>
        <v>2915168117</v>
      </c>
      <c r="T46" s="24">
        <f t="shared" si="84"/>
        <v>2022311758</v>
      </c>
      <c r="U46" s="24">
        <f t="shared" si="85"/>
        <v>3940294391</v>
      </c>
      <c r="V46" s="24">
        <f t="shared" si="86"/>
        <v>1468571764</v>
      </c>
      <c r="W46" s="24">
        <f t="shared" si="87"/>
        <v>289466837</v>
      </c>
      <c r="X46" s="24">
        <f t="shared" si="88"/>
        <v>3091066543</v>
      </c>
      <c r="Y46" s="24">
        <f t="shared" si="89"/>
        <v>2831158901</v>
      </c>
      <c r="Z46" s="24">
        <f t="shared" si="90"/>
        <v>1351090244</v>
      </c>
      <c r="AA46" s="24">
        <f t="shared" si="91"/>
        <v>1193144706</v>
      </c>
      <c r="AB46" s="24">
        <f t="shared" si="92"/>
        <v>788703034</v>
      </c>
      <c r="AC46" s="24">
        <f t="shared" si="93"/>
        <v>16834944</v>
      </c>
      <c r="AD46" s="24">
        <f t="shared" si="94"/>
        <v>671131178</v>
      </c>
      <c r="AE46" s="24">
        <f t="shared" si="95"/>
        <v>1448941655</v>
      </c>
      <c r="AF46" s="24">
        <f t="shared" si="96"/>
        <v>2537507221</v>
      </c>
      <c r="AG46" s="24">
        <f t="shared" si="97"/>
        <v>2592165146</v>
      </c>
      <c r="AH46" s="24">
        <f t="shared" si="98"/>
        <v>86925772</v>
      </c>
      <c r="AI46" s="24">
        <f t="shared" si="99"/>
        <v>845808948</v>
      </c>
      <c r="AJ46" s="24">
        <f t="shared" si="100"/>
        <v>1746188679</v>
      </c>
      <c r="AK46" s="24">
        <f t="shared" si="101"/>
        <v>965955625</v>
      </c>
      <c r="AL46" s="24">
        <f t="shared" si="102"/>
        <v>2738922956</v>
      </c>
      <c r="AM46" s="24">
        <f t="shared" si="103"/>
        <v>301991184</v>
      </c>
      <c r="AN46" s="24">
        <f t="shared" si="104"/>
        <v>270724</v>
      </c>
      <c r="AO46" s="24">
        <f t="shared" si="105"/>
        <v>2833991726</v>
      </c>
      <c r="AP46" s="24">
        <f t="shared" si="106"/>
        <v>1832573003</v>
      </c>
      <c r="AQ46" s="24">
        <f t="shared" si="107"/>
        <v>679690280</v>
      </c>
      <c r="AR46" s="24">
        <f t="shared" si="108"/>
        <v>553680968</v>
      </c>
      <c r="AS46" s="24">
        <f t="shared" si="109"/>
        <v>2440566791</v>
      </c>
      <c r="AT46" s="24">
        <f t="shared" si="110"/>
        <v>3464134023</v>
      </c>
      <c r="AU46" s="24">
        <f t="shared" si="111"/>
        <v>34885154</v>
      </c>
      <c r="AV46" s="24">
        <f t="shared" si="112"/>
        <v>8388864</v>
      </c>
      <c r="AW46" s="24">
        <f t="shared" si="113"/>
        <v>2149720285</v>
      </c>
      <c r="AX46" s="24">
        <f t="shared" si="114"/>
        <v>203428993</v>
      </c>
      <c r="BA46" s="24">
        <f t="shared" si="115"/>
        <v>2184605439</v>
      </c>
      <c r="BB46" s="24">
        <f t="shared" si="116"/>
        <v>211817857</v>
      </c>
      <c r="BC46" s="24">
        <f t="shared" si="117"/>
        <v>5399564</v>
      </c>
      <c r="BD46" s="24">
        <f t="shared" si="118"/>
        <v>161486017</v>
      </c>
      <c r="BE46" s="24">
        <f t="shared" si="119"/>
        <v>2688729616</v>
      </c>
      <c r="BF46" s="24">
        <f t="shared" si="120"/>
        <v>1218450641</v>
      </c>
      <c r="BG46" s="24">
        <f t="shared" si="121"/>
        <v>4604032</v>
      </c>
      <c r="BH46" s="24">
        <f t="shared" si="122"/>
        <v>418660321</v>
      </c>
      <c r="BI46" s="24">
        <f t="shared" si="123"/>
        <v>4341760</v>
      </c>
      <c r="BJ46" s="24">
        <f t="shared" si="124"/>
        <v>144708801</v>
      </c>
      <c r="BK46" s="24">
        <f t="shared" si="125"/>
        <v>2690049692</v>
      </c>
      <c r="BL46" s="24">
        <f t="shared" si="126"/>
        <v>1509179377</v>
      </c>
      <c r="BM46" s="24">
        <f>MOD(R45+AF46+BB46+'📦 Константы SHA-512'!D44+BI240,4294967296)</f>
        <v>1387043051</v>
      </c>
      <c r="BN46" s="24">
        <f>INT((R45+AF46+BB46+'📦 Константы SHA-512'!D44+BI240)/4294967296)</f>
        <v>2</v>
      </c>
      <c r="BO46" s="24">
        <f>MOD(Q45+AE46+BA46+'📦 Константы SHA-512'!C44+BH240+BN46,4294967296)</f>
        <v>3218003641</v>
      </c>
      <c r="BP46" s="24" t="s">
        <v>338</v>
      </c>
      <c r="BQ46" s="24">
        <f t="shared" si="127"/>
        <v>678346104</v>
      </c>
      <c r="BR46" s="24">
        <f t="shared" si="128"/>
        <v>1</v>
      </c>
      <c r="BS46" s="24">
        <f t="shared" si="129"/>
        <v>835649188</v>
      </c>
      <c r="BU46" s="24">
        <f t="shared" si="130"/>
        <v>4141572692</v>
      </c>
      <c r="BV46" s="24">
        <f t="shared" si="131"/>
        <v>4043384742</v>
      </c>
      <c r="BW46" s="24">
        <f t="shared" si="132"/>
        <v>4053652829</v>
      </c>
      <c r="BX46" s="24">
        <f t="shared" si="133"/>
        <v>2065389155</v>
      </c>
    </row>
    <row r="47" spans="2:76" ht="12.75" customHeight="1" x14ac:dyDescent="0.25">
      <c r="B47" s="25">
        <v>42</v>
      </c>
      <c r="C47" s="42">
        <f t="shared" si="67"/>
        <v>1840361778</v>
      </c>
      <c r="D47" s="42">
        <f t="shared" si="68"/>
        <v>430242460</v>
      </c>
      <c r="E47" s="42">
        <f t="shared" si="69"/>
        <v>4053652829</v>
      </c>
      <c r="F47" s="42">
        <f t="shared" si="70"/>
        <v>2065389155</v>
      </c>
      <c r="G47" s="42">
        <f t="shared" si="71"/>
        <v>2689787420</v>
      </c>
      <c r="H47" s="42">
        <f t="shared" si="72"/>
        <v>3383235793</v>
      </c>
      <c r="I47" s="42">
        <f t="shared" si="73"/>
        <v>41317518</v>
      </c>
      <c r="J47" s="42">
        <f t="shared" si="74"/>
        <v>469073889</v>
      </c>
      <c r="K47" s="42">
        <f t="shared" si="75"/>
        <v>1478228891</v>
      </c>
      <c r="L47" s="42">
        <f t="shared" si="76"/>
        <v>4169713796</v>
      </c>
      <c r="M47" s="42">
        <f t="shared" si="77"/>
        <v>4141572692</v>
      </c>
      <c r="N47" s="42">
        <f t="shared" si="78"/>
        <v>4043384742</v>
      </c>
      <c r="O47" s="42">
        <f t="shared" si="79"/>
        <v>2078105122</v>
      </c>
      <c r="P47" s="42">
        <f t="shared" si="80"/>
        <v>2178132848</v>
      </c>
      <c r="Q47" s="42">
        <f t="shared" si="81"/>
        <v>37154730</v>
      </c>
      <c r="R47" s="42">
        <f t="shared" si="82"/>
        <v>44320002</v>
      </c>
      <c r="S47" s="24">
        <f t="shared" si="83"/>
        <v>2661014381</v>
      </c>
      <c r="T47" s="24">
        <f t="shared" si="84"/>
        <v>2303968260</v>
      </c>
      <c r="U47" s="24">
        <f t="shared" si="85"/>
        <v>1240055222</v>
      </c>
      <c r="V47" s="24">
        <f t="shared" si="86"/>
        <v>3633658944</v>
      </c>
      <c r="W47" s="24">
        <f t="shared" si="87"/>
        <v>712540307</v>
      </c>
      <c r="X47" s="24">
        <f t="shared" si="88"/>
        <v>3548081585</v>
      </c>
      <c r="Y47" s="24">
        <f t="shared" si="89"/>
        <v>143235364</v>
      </c>
      <c r="Z47" s="24">
        <f t="shared" si="90"/>
        <v>2282816512</v>
      </c>
      <c r="AA47" s="24">
        <f t="shared" si="91"/>
        <v>3614598875</v>
      </c>
      <c r="AB47" s="24">
        <f t="shared" si="92"/>
        <v>1371994180</v>
      </c>
      <c r="AC47" s="24">
        <f t="shared" si="93"/>
        <v>40894611</v>
      </c>
      <c r="AD47" s="24">
        <f t="shared" si="94"/>
        <v>1363306496</v>
      </c>
      <c r="AE47" s="24">
        <f t="shared" si="95"/>
        <v>4245349960</v>
      </c>
      <c r="AF47" s="24">
        <f t="shared" si="96"/>
        <v>2193462773</v>
      </c>
      <c r="AG47" s="24">
        <f t="shared" si="97"/>
        <v>2981455423</v>
      </c>
      <c r="AH47" s="24">
        <f t="shared" si="98"/>
        <v>433935831</v>
      </c>
      <c r="AI47" s="24">
        <f t="shared" si="99"/>
        <v>1590089112</v>
      </c>
      <c r="AJ47" s="24">
        <f t="shared" si="100"/>
        <v>4234638679</v>
      </c>
      <c r="AK47" s="24">
        <f t="shared" si="101"/>
        <v>3136698028</v>
      </c>
      <c r="AL47" s="24">
        <f t="shared" si="102"/>
        <v>3353557930</v>
      </c>
      <c r="AM47" s="24">
        <f t="shared" si="103"/>
        <v>277103640</v>
      </c>
      <c r="AN47" s="24">
        <f t="shared" si="104"/>
        <v>407197015</v>
      </c>
      <c r="AO47" s="24">
        <f t="shared" si="105"/>
        <v>4017337255</v>
      </c>
      <c r="AP47" s="24">
        <f t="shared" si="106"/>
        <v>3854180480</v>
      </c>
      <c r="AQ47" s="24">
        <f t="shared" si="107"/>
        <v>2859610788</v>
      </c>
      <c r="AR47" s="24">
        <f t="shared" si="108"/>
        <v>3315736704</v>
      </c>
      <c r="AS47" s="24">
        <f t="shared" si="109"/>
        <v>1434813707</v>
      </c>
      <c r="AT47" s="24">
        <f t="shared" si="110"/>
        <v>576265002</v>
      </c>
      <c r="AU47" s="24">
        <f t="shared" si="111"/>
        <v>1926840832</v>
      </c>
      <c r="AV47" s="24">
        <f t="shared" si="112"/>
        <v>2164335392</v>
      </c>
      <c r="AW47" s="24">
        <f t="shared" si="113"/>
        <v>2395562</v>
      </c>
      <c r="AX47" s="24">
        <f t="shared" si="114"/>
        <v>44318720</v>
      </c>
      <c r="BA47" s="24">
        <f t="shared" si="115"/>
        <v>1929236394</v>
      </c>
      <c r="BB47" s="24">
        <f t="shared" si="116"/>
        <v>2208654112</v>
      </c>
      <c r="BC47" s="24">
        <f t="shared" si="117"/>
        <v>2685453340</v>
      </c>
      <c r="BD47" s="24">
        <f t="shared" si="118"/>
        <v>1225266241</v>
      </c>
      <c r="BE47" s="24">
        <f t="shared" si="119"/>
        <v>1332236</v>
      </c>
      <c r="BF47" s="24">
        <f t="shared" si="120"/>
        <v>454121057</v>
      </c>
      <c r="BG47" s="24">
        <f t="shared" si="121"/>
        <v>5399564</v>
      </c>
      <c r="BH47" s="24">
        <f t="shared" si="122"/>
        <v>161486017</v>
      </c>
      <c r="BI47" s="24">
        <f t="shared" si="123"/>
        <v>1065996</v>
      </c>
      <c r="BJ47" s="24">
        <f t="shared" si="124"/>
        <v>151000129</v>
      </c>
      <c r="BK47" s="24">
        <f t="shared" si="125"/>
        <v>2690053148</v>
      </c>
      <c r="BL47" s="24">
        <f t="shared" si="126"/>
        <v>1538873057</v>
      </c>
      <c r="BM47" s="24">
        <f>MOD(R46+AF47+BB47+'📦 Константы SHA-512'!D45+BI241,4294967296)</f>
        <v>2610071697</v>
      </c>
      <c r="BN47" s="24">
        <f>INT((R46+AF47+BB47+'📦 Константы SHA-512'!D45+BI241)/4294967296)</f>
        <v>2</v>
      </c>
      <c r="BO47" s="24">
        <f>MOD(Q46+AE47+BA47+'📦 Константы SHA-512'!C45+BH241+BN47,4294967296)</f>
        <v>2010462218</v>
      </c>
      <c r="BP47" s="24" t="s">
        <v>339</v>
      </c>
      <c r="BQ47" s="24">
        <f t="shared" si="127"/>
        <v>2115138059</v>
      </c>
      <c r="BR47" s="24">
        <f t="shared" si="128"/>
        <v>0</v>
      </c>
      <c r="BS47" s="24">
        <f t="shared" si="129"/>
        <v>4124866855</v>
      </c>
      <c r="BU47" s="24">
        <f t="shared" si="130"/>
        <v>1478228891</v>
      </c>
      <c r="BV47" s="24">
        <f t="shared" si="131"/>
        <v>4169713796</v>
      </c>
      <c r="BW47" s="24">
        <f t="shared" si="132"/>
        <v>1840361778</v>
      </c>
      <c r="BX47" s="24">
        <f t="shared" si="133"/>
        <v>430242460</v>
      </c>
    </row>
    <row r="48" spans="2:76" ht="12.75" customHeight="1" x14ac:dyDescent="0.25">
      <c r="B48" s="27">
        <v>43</v>
      </c>
      <c r="C48" s="44">
        <f t="shared" si="67"/>
        <v>990151050</v>
      </c>
      <c r="D48" s="44">
        <f t="shared" si="68"/>
        <v>1562412193</v>
      </c>
      <c r="E48" s="44">
        <f t="shared" si="69"/>
        <v>1840361778</v>
      </c>
      <c r="F48" s="44">
        <f t="shared" si="70"/>
        <v>430242460</v>
      </c>
      <c r="G48" s="44">
        <f t="shared" si="71"/>
        <v>4053652829</v>
      </c>
      <c r="H48" s="44">
        <f t="shared" si="72"/>
        <v>2065389155</v>
      </c>
      <c r="I48" s="44">
        <f t="shared" si="73"/>
        <v>2689787420</v>
      </c>
      <c r="J48" s="44">
        <f t="shared" si="74"/>
        <v>3383235793</v>
      </c>
      <c r="K48" s="44">
        <f t="shared" si="75"/>
        <v>3822264935</v>
      </c>
      <c r="L48" s="44">
        <f t="shared" si="76"/>
        <v>650219938</v>
      </c>
      <c r="M48" s="44">
        <f t="shared" si="77"/>
        <v>1478228891</v>
      </c>
      <c r="N48" s="44">
        <f t="shared" si="78"/>
        <v>4169713796</v>
      </c>
      <c r="O48" s="44">
        <f t="shared" si="79"/>
        <v>4141572692</v>
      </c>
      <c r="P48" s="44">
        <f t="shared" si="80"/>
        <v>4043384742</v>
      </c>
      <c r="Q48" s="44">
        <f t="shared" si="81"/>
        <v>2078105122</v>
      </c>
      <c r="R48" s="44">
        <f t="shared" si="82"/>
        <v>2178132848</v>
      </c>
      <c r="S48" s="24">
        <f t="shared" si="83"/>
        <v>571564143</v>
      </c>
      <c r="T48" s="24">
        <f t="shared" si="84"/>
        <v>4000309795</v>
      </c>
      <c r="U48" s="24">
        <f t="shared" si="85"/>
        <v>841029126</v>
      </c>
      <c r="V48" s="24">
        <f t="shared" si="86"/>
        <v>4276551202</v>
      </c>
      <c r="W48" s="24">
        <f t="shared" si="87"/>
        <v>3455861860</v>
      </c>
      <c r="X48" s="24">
        <f t="shared" si="88"/>
        <v>1110183421</v>
      </c>
      <c r="Y48" s="24">
        <f t="shared" si="89"/>
        <v>570490886</v>
      </c>
      <c r="Z48" s="24">
        <f t="shared" si="90"/>
        <v>3999719970</v>
      </c>
      <c r="AA48" s="24">
        <f t="shared" si="91"/>
        <v>271611497</v>
      </c>
      <c r="AB48" s="24">
        <f t="shared" si="92"/>
        <v>277421057</v>
      </c>
      <c r="AC48" s="24">
        <f t="shared" si="93"/>
        <v>3163232</v>
      </c>
      <c r="AD48" s="24">
        <f t="shared" si="94"/>
        <v>527361</v>
      </c>
      <c r="AE48" s="24">
        <f t="shared" si="95"/>
        <v>3721146893</v>
      </c>
      <c r="AF48" s="24">
        <f t="shared" si="96"/>
        <v>1386549756</v>
      </c>
      <c r="AG48" s="24">
        <f t="shared" si="97"/>
        <v>2588912070</v>
      </c>
      <c r="AH48" s="24">
        <f t="shared" si="98"/>
        <v>3675984673</v>
      </c>
      <c r="AI48" s="24">
        <f t="shared" si="99"/>
        <v>2255044263</v>
      </c>
      <c r="AJ48" s="24">
        <f t="shared" si="100"/>
        <v>460090444</v>
      </c>
      <c r="AK48" s="24">
        <f t="shared" si="101"/>
        <v>1681082869</v>
      </c>
      <c r="AL48" s="24">
        <f t="shared" si="102"/>
        <v>953901922</v>
      </c>
      <c r="AM48" s="24">
        <f t="shared" si="103"/>
        <v>2185832582</v>
      </c>
      <c r="AN48" s="24">
        <f t="shared" si="104"/>
        <v>453509120</v>
      </c>
      <c r="AO48" s="24">
        <f t="shared" si="105"/>
        <v>472291169</v>
      </c>
      <c r="AP48" s="24">
        <f t="shared" si="106"/>
        <v>3229056877</v>
      </c>
      <c r="AQ48" s="24">
        <f t="shared" si="107"/>
        <v>69337441</v>
      </c>
      <c r="AR48" s="24">
        <f t="shared" si="108"/>
        <v>5464928</v>
      </c>
      <c r="AS48" s="24">
        <f t="shared" si="109"/>
        <v>2014699156</v>
      </c>
      <c r="AT48" s="24">
        <f t="shared" si="110"/>
        <v>4172028943</v>
      </c>
      <c r="AU48" s="24">
        <f t="shared" si="111"/>
        <v>1343971856</v>
      </c>
      <c r="AV48" s="24">
        <f t="shared" si="112"/>
        <v>4026531972</v>
      </c>
      <c r="AW48" s="24">
        <f t="shared" si="113"/>
        <v>600048672</v>
      </c>
      <c r="AX48" s="24">
        <f t="shared" si="114"/>
        <v>22225776</v>
      </c>
      <c r="BA48" s="24">
        <f t="shared" si="115"/>
        <v>1944020528</v>
      </c>
      <c r="BB48" s="24">
        <f t="shared" si="116"/>
        <v>4048757748</v>
      </c>
      <c r="BC48" s="24">
        <f t="shared" si="117"/>
        <v>1636929808</v>
      </c>
      <c r="BD48" s="24">
        <f t="shared" si="118"/>
        <v>419451392</v>
      </c>
      <c r="BE48" s="24">
        <f t="shared" si="119"/>
        <v>537960464</v>
      </c>
      <c r="BF48" s="24">
        <f t="shared" si="120"/>
        <v>161484944</v>
      </c>
      <c r="BG48" s="24">
        <f t="shared" si="121"/>
        <v>2685453340</v>
      </c>
      <c r="BH48" s="24">
        <f t="shared" si="122"/>
        <v>1225266241</v>
      </c>
      <c r="BI48" s="24">
        <f t="shared" si="123"/>
        <v>537952272</v>
      </c>
      <c r="BJ48" s="24">
        <f t="shared" si="124"/>
        <v>150999040</v>
      </c>
      <c r="BK48" s="24">
        <f t="shared" si="125"/>
        <v>3784439068</v>
      </c>
      <c r="BL48" s="24">
        <f t="shared" si="126"/>
        <v>1504204497</v>
      </c>
      <c r="BM48" s="24">
        <f>MOD(R47+AF48+BB48+'📦 Константы SHA-512'!D46+BI242,4294967296)</f>
        <v>181146049</v>
      </c>
      <c r="BN48" s="24">
        <f>INT((R47+AF48+BB48+'📦 Константы SHA-512'!D46+BI242)/4294967296)</f>
        <v>3</v>
      </c>
      <c r="BO48" s="24">
        <f>MOD(Q47+AE48+BA48+'📦 Константы SHA-512'!C46+BH242+BN48,4294967296)</f>
        <v>3780947417</v>
      </c>
      <c r="BP48" s="24" t="s">
        <v>340</v>
      </c>
      <c r="BQ48" s="24">
        <f t="shared" si="127"/>
        <v>1381266144</v>
      </c>
      <c r="BR48" s="24">
        <f t="shared" si="128"/>
        <v>1</v>
      </c>
      <c r="BS48" s="24">
        <f t="shared" si="129"/>
        <v>1504170929</v>
      </c>
      <c r="BU48" s="24">
        <f t="shared" si="130"/>
        <v>3822264935</v>
      </c>
      <c r="BV48" s="24">
        <f t="shared" si="131"/>
        <v>650219938</v>
      </c>
      <c r="BW48" s="24">
        <f t="shared" si="132"/>
        <v>990151050</v>
      </c>
      <c r="BX48" s="24">
        <f t="shared" si="133"/>
        <v>1562412193</v>
      </c>
    </row>
    <row r="49" spans="2:76" ht="12.75" customHeight="1" x14ac:dyDescent="0.25">
      <c r="B49" s="29">
        <v>44</v>
      </c>
      <c r="C49" s="45">
        <f t="shared" si="67"/>
        <v>929944422</v>
      </c>
      <c r="D49" s="45">
        <f t="shared" si="68"/>
        <v>252436954</v>
      </c>
      <c r="E49" s="45">
        <f t="shared" si="69"/>
        <v>990151050</v>
      </c>
      <c r="F49" s="45">
        <f t="shared" si="70"/>
        <v>1562412193</v>
      </c>
      <c r="G49" s="45">
        <f t="shared" si="71"/>
        <v>1840361778</v>
      </c>
      <c r="H49" s="45">
        <f t="shared" si="72"/>
        <v>430242460</v>
      </c>
      <c r="I49" s="45">
        <f t="shared" si="73"/>
        <v>4053652829</v>
      </c>
      <c r="J49" s="45">
        <f t="shared" si="74"/>
        <v>2065389155</v>
      </c>
      <c r="K49" s="45">
        <f t="shared" si="75"/>
        <v>204537397</v>
      </c>
      <c r="L49" s="45">
        <f t="shared" si="76"/>
        <v>3264474694</v>
      </c>
      <c r="M49" s="45">
        <f t="shared" si="77"/>
        <v>3822264935</v>
      </c>
      <c r="N49" s="45">
        <f t="shared" si="78"/>
        <v>650219938</v>
      </c>
      <c r="O49" s="45">
        <f t="shared" si="79"/>
        <v>1478228891</v>
      </c>
      <c r="P49" s="45">
        <f t="shared" si="80"/>
        <v>4169713796</v>
      </c>
      <c r="Q49" s="45">
        <f t="shared" si="81"/>
        <v>4141572692</v>
      </c>
      <c r="R49" s="45">
        <f t="shared" si="82"/>
        <v>4043384742</v>
      </c>
      <c r="S49" s="24">
        <f t="shared" si="83"/>
        <v>1183551308</v>
      </c>
      <c r="T49" s="24">
        <f t="shared" si="84"/>
        <v>2308741894</v>
      </c>
      <c r="U49" s="24">
        <f t="shared" si="85"/>
        <v>1684584692</v>
      </c>
      <c r="V49" s="24">
        <f t="shared" si="86"/>
        <v>3365521840</v>
      </c>
      <c r="W49" s="24">
        <f t="shared" si="87"/>
        <v>865296584</v>
      </c>
      <c r="X49" s="24">
        <f t="shared" si="88"/>
        <v>3513903505</v>
      </c>
      <c r="Y49" s="24">
        <f t="shared" si="89"/>
        <v>1141409860</v>
      </c>
      <c r="Z49" s="24">
        <f t="shared" si="90"/>
        <v>2291697920</v>
      </c>
      <c r="AA49" s="24">
        <f t="shared" si="91"/>
        <v>585316280</v>
      </c>
      <c r="AB49" s="24">
        <f t="shared" si="92"/>
        <v>1090867894</v>
      </c>
      <c r="AC49" s="24">
        <f t="shared" si="93"/>
        <v>579018888</v>
      </c>
      <c r="AD49" s="24">
        <f t="shared" si="94"/>
        <v>1090601104</v>
      </c>
      <c r="AE49" s="24">
        <f t="shared" si="95"/>
        <v>292575088</v>
      </c>
      <c r="AF49" s="24">
        <f t="shared" si="96"/>
        <v>2423569191</v>
      </c>
      <c r="AG49" s="24">
        <f t="shared" si="97"/>
        <v>3523758611</v>
      </c>
      <c r="AH49" s="24">
        <f t="shared" si="98"/>
        <v>2957514917</v>
      </c>
      <c r="AI49" s="24">
        <f t="shared" si="99"/>
        <v>2538086696</v>
      </c>
      <c r="AJ49" s="24">
        <f t="shared" si="100"/>
        <v>1321279586</v>
      </c>
      <c r="AK49" s="24">
        <f t="shared" si="101"/>
        <v>347750665</v>
      </c>
      <c r="AL49" s="24">
        <f t="shared" si="102"/>
        <v>1115031811</v>
      </c>
      <c r="AM49" s="24">
        <f t="shared" si="103"/>
        <v>2449997824</v>
      </c>
      <c r="AN49" s="24">
        <f t="shared" si="104"/>
        <v>4194336</v>
      </c>
      <c r="AO49" s="24">
        <f t="shared" si="105"/>
        <v>1161849659</v>
      </c>
      <c r="AP49" s="24">
        <f t="shared" si="106"/>
        <v>4270405831</v>
      </c>
      <c r="AQ49" s="24">
        <f t="shared" si="107"/>
        <v>67125513</v>
      </c>
      <c r="AR49" s="24">
        <f t="shared" si="108"/>
        <v>1107298307</v>
      </c>
      <c r="AS49" s="24">
        <f t="shared" si="109"/>
        <v>1375349298</v>
      </c>
      <c r="AT49" s="24">
        <f t="shared" si="110"/>
        <v>3170841028</v>
      </c>
      <c r="AU49" s="24">
        <f t="shared" si="111"/>
        <v>1074995715</v>
      </c>
      <c r="AV49" s="24">
        <f t="shared" si="112"/>
        <v>545292416</v>
      </c>
      <c r="AW49" s="24">
        <f t="shared" si="113"/>
        <v>336085008</v>
      </c>
      <c r="AX49" s="24">
        <f t="shared" si="114"/>
        <v>3506447876</v>
      </c>
      <c r="BA49" s="24">
        <f t="shared" si="115"/>
        <v>1411080723</v>
      </c>
      <c r="BB49" s="24">
        <f t="shared" si="116"/>
        <v>4051740292</v>
      </c>
      <c r="BC49" s="24">
        <f t="shared" si="117"/>
        <v>687898882</v>
      </c>
      <c r="BD49" s="24">
        <f t="shared" si="118"/>
        <v>421560448</v>
      </c>
      <c r="BE49" s="24">
        <f t="shared" si="119"/>
        <v>822378760</v>
      </c>
      <c r="BF49" s="24">
        <f t="shared" si="120"/>
        <v>1493173281</v>
      </c>
      <c r="BG49" s="24">
        <f t="shared" si="121"/>
        <v>1636929808</v>
      </c>
      <c r="BH49" s="24">
        <f t="shared" si="122"/>
        <v>419451392</v>
      </c>
      <c r="BI49" s="24">
        <f t="shared" si="123"/>
        <v>553681152</v>
      </c>
      <c r="BJ49" s="24">
        <f t="shared" si="124"/>
        <v>419430400</v>
      </c>
      <c r="BK49" s="24">
        <f t="shared" si="125"/>
        <v>2039845146</v>
      </c>
      <c r="BL49" s="24">
        <f t="shared" si="126"/>
        <v>1495324321</v>
      </c>
      <c r="BM49" s="24">
        <f>MOD(R48+AF49+BB49+'📦 Константы SHA-512'!D47+BI243,4294967296)</f>
        <v>4176206197</v>
      </c>
      <c r="BN49" s="24">
        <f>INT((R48+AF49+BB49+'📦 Константы SHA-512'!D47+BI243)/4294967296)</f>
        <v>2</v>
      </c>
      <c r="BO49" s="24">
        <f>MOD(Q48+AE49+BA49+'📦 Константы SHA-512'!C47+BH243+BN49,4294967296)</f>
        <v>1809717272</v>
      </c>
      <c r="BP49" s="24" t="s">
        <v>341</v>
      </c>
      <c r="BQ49" s="24">
        <f t="shared" si="127"/>
        <v>371198053</v>
      </c>
      <c r="BR49" s="24">
        <f t="shared" si="128"/>
        <v>1</v>
      </c>
      <c r="BS49" s="24">
        <f t="shared" si="129"/>
        <v>3415194445</v>
      </c>
      <c r="BU49" s="24">
        <f t="shared" si="130"/>
        <v>204537397</v>
      </c>
      <c r="BV49" s="24">
        <f t="shared" si="131"/>
        <v>3264474694</v>
      </c>
      <c r="BW49" s="24">
        <f t="shared" si="132"/>
        <v>929944422</v>
      </c>
      <c r="BX49" s="24">
        <f t="shared" si="133"/>
        <v>252436954</v>
      </c>
    </row>
    <row r="50" spans="2:76" ht="12.75" customHeight="1" x14ac:dyDescent="0.25">
      <c r="B50" s="31">
        <v>45</v>
      </c>
      <c r="C50" s="47">
        <f t="shared" si="67"/>
        <v>866542422</v>
      </c>
      <c r="D50" s="47">
        <f t="shared" si="68"/>
        <v>2906988572</v>
      </c>
      <c r="E50" s="47">
        <f t="shared" si="69"/>
        <v>929944422</v>
      </c>
      <c r="F50" s="47">
        <f t="shared" si="70"/>
        <v>252436954</v>
      </c>
      <c r="G50" s="47">
        <f t="shared" si="71"/>
        <v>990151050</v>
      </c>
      <c r="H50" s="47">
        <f t="shared" si="72"/>
        <v>1562412193</v>
      </c>
      <c r="I50" s="47">
        <f t="shared" si="73"/>
        <v>1840361778</v>
      </c>
      <c r="J50" s="47">
        <f t="shared" si="74"/>
        <v>430242460</v>
      </c>
      <c r="K50" s="47">
        <f t="shared" si="75"/>
        <v>649835899</v>
      </c>
      <c r="L50" s="47">
        <f t="shared" si="76"/>
        <v>3151428808</v>
      </c>
      <c r="M50" s="47">
        <f t="shared" si="77"/>
        <v>204537397</v>
      </c>
      <c r="N50" s="47">
        <f t="shared" si="78"/>
        <v>3264474694</v>
      </c>
      <c r="O50" s="47">
        <f t="shared" si="79"/>
        <v>3822264935</v>
      </c>
      <c r="P50" s="47">
        <f t="shared" si="80"/>
        <v>650219938</v>
      </c>
      <c r="Q50" s="47">
        <f t="shared" si="81"/>
        <v>1478228891</v>
      </c>
      <c r="R50" s="47">
        <f t="shared" si="82"/>
        <v>4169713796</v>
      </c>
      <c r="S50" s="24">
        <f t="shared" si="83"/>
        <v>3105370307</v>
      </c>
      <c r="T50" s="24">
        <f t="shared" si="84"/>
        <v>4174842447</v>
      </c>
      <c r="U50" s="24">
        <f t="shared" si="85"/>
        <v>4220617484</v>
      </c>
      <c r="V50" s="24">
        <f t="shared" si="86"/>
        <v>1066234020</v>
      </c>
      <c r="W50" s="24">
        <f t="shared" si="87"/>
        <v>450972151</v>
      </c>
      <c r="X50" s="24">
        <f t="shared" si="88"/>
        <v>587602047</v>
      </c>
      <c r="Y50" s="24">
        <f t="shared" si="89"/>
        <v>3104833536</v>
      </c>
      <c r="Z50" s="24">
        <f t="shared" si="90"/>
        <v>948240388</v>
      </c>
      <c r="AA50" s="24">
        <f t="shared" si="91"/>
        <v>1116320719</v>
      </c>
      <c r="AB50" s="24">
        <f t="shared" si="92"/>
        <v>3344595691</v>
      </c>
      <c r="AC50" s="24">
        <f t="shared" si="93"/>
        <v>42009031</v>
      </c>
      <c r="AD50" s="24">
        <f t="shared" si="94"/>
        <v>50468971</v>
      </c>
      <c r="AE50" s="24">
        <f t="shared" si="95"/>
        <v>1483274808</v>
      </c>
      <c r="AF50" s="24">
        <f t="shared" si="96"/>
        <v>3831259796</v>
      </c>
      <c r="AG50" s="24">
        <f t="shared" si="97"/>
        <v>4038991267</v>
      </c>
      <c r="AH50" s="24">
        <f t="shared" si="98"/>
        <v>1994208864</v>
      </c>
      <c r="AI50" s="24">
        <f t="shared" si="99"/>
        <v>2210592886</v>
      </c>
      <c r="AJ50" s="24">
        <f t="shared" si="100"/>
        <v>2379969753</v>
      </c>
      <c r="AK50" s="24">
        <f t="shared" si="101"/>
        <v>3424524227</v>
      </c>
      <c r="AL50" s="24">
        <f t="shared" si="102"/>
        <v>3027164070</v>
      </c>
      <c r="AM50" s="24">
        <f t="shared" si="103"/>
        <v>2156009506</v>
      </c>
      <c r="AN50" s="24">
        <f t="shared" si="104"/>
        <v>81343552</v>
      </c>
      <c r="AO50" s="24">
        <f t="shared" si="105"/>
        <v>1937565141</v>
      </c>
      <c r="AP50" s="24">
        <f t="shared" si="106"/>
        <v>4211491513</v>
      </c>
      <c r="AQ50" s="24">
        <f t="shared" si="107"/>
        <v>1075578305</v>
      </c>
      <c r="AR50" s="24">
        <f t="shared" si="108"/>
        <v>2953200288</v>
      </c>
      <c r="AS50" s="24">
        <f t="shared" si="109"/>
        <v>3210932758</v>
      </c>
      <c r="AT50" s="24">
        <f t="shared" si="110"/>
        <v>1332255007</v>
      </c>
      <c r="AU50" s="24">
        <f t="shared" si="111"/>
        <v>1057317</v>
      </c>
      <c r="AV50" s="24">
        <f t="shared" si="112"/>
        <v>42041346</v>
      </c>
      <c r="AW50" s="24">
        <f t="shared" si="113"/>
        <v>1342898570</v>
      </c>
      <c r="AX50" s="24">
        <f t="shared" si="114"/>
        <v>940048512</v>
      </c>
      <c r="BA50" s="24">
        <f t="shared" si="115"/>
        <v>1343955887</v>
      </c>
      <c r="BB50" s="24">
        <f t="shared" si="116"/>
        <v>982089858</v>
      </c>
      <c r="BC50" s="24">
        <f t="shared" si="117"/>
        <v>855933186</v>
      </c>
      <c r="BD50" s="24">
        <f t="shared" si="118"/>
        <v>218136704</v>
      </c>
      <c r="BE50" s="24">
        <f t="shared" si="119"/>
        <v>622956834</v>
      </c>
      <c r="BF50" s="24">
        <f t="shared" si="120"/>
        <v>151052440</v>
      </c>
      <c r="BG50" s="24">
        <f t="shared" si="121"/>
        <v>687898882</v>
      </c>
      <c r="BH50" s="24">
        <f t="shared" si="122"/>
        <v>421560448</v>
      </c>
      <c r="BI50" s="24">
        <f t="shared" si="123"/>
        <v>553681154</v>
      </c>
      <c r="BJ50" s="24">
        <f t="shared" si="124"/>
        <v>151027840</v>
      </c>
      <c r="BK50" s="24">
        <f t="shared" si="125"/>
        <v>1059426594</v>
      </c>
      <c r="BL50" s="24">
        <f t="shared" si="126"/>
        <v>488693912</v>
      </c>
      <c r="BM50" s="24">
        <f>MOD(R49+AF50+BB50+'📦 Константы SHA-512'!D48+BI244,4294967296)</f>
        <v>1086039653</v>
      </c>
      <c r="BN50" s="24">
        <f>INT((R49+AF50+BB50+'📦 Константы SHA-512'!D48+BI244)/4294967296)</f>
        <v>3</v>
      </c>
      <c r="BO50" s="24">
        <f>MOD(Q49+AE50+BA50+'📦 Константы SHA-512'!C48+BH244+BN50,4294967296)</f>
        <v>891150366</v>
      </c>
      <c r="BP50" s="24" t="s">
        <v>342</v>
      </c>
      <c r="BQ50" s="24">
        <f t="shared" si="127"/>
        <v>1820948919</v>
      </c>
      <c r="BR50" s="24">
        <f t="shared" si="128"/>
        <v>0</v>
      </c>
      <c r="BS50" s="24">
        <f t="shared" si="129"/>
        <v>4270359352</v>
      </c>
      <c r="BU50" s="24">
        <f t="shared" si="130"/>
        <v>649835899</v>
      </c>
      <c r="BV50" s="24">
        <f t="shared" si="131"/>
        <v>3151428808</v>
      </c>
      <c r="BW50" s="24">
        <f t="shared" si="132"/>
        <v>866542422</v>
      </c>
      <c r="BX50" s="24">
        <f t="shared" si="133"/>
        <v>2906988572</v>
      </c>
    </row>
    <row r="51" spans="2:76" ht="12.75" customHeight="1" x14ac:dyDescent="0.25">
      <c r="B51" s="33">
        <v>46</v>
      </c>
      <c r="C51" s="49">
        <f t="shared" si="67"/>
        <v>2352586272</v>
      </c>
      <c r="D51" s="49">
        <f t="shared" si="68"/>
        <v>249145526</v>
      </c>
      <c r="E51" s="49">
        <f t="shared" si="69"/>
        <v>866542422</v>
      </c>
      <c r="F51" s="49">
        <f t="shared" si="70"/>
        <v>2906988572</v>
      </c>
      <c r="G51" s="49">
        <f t="shared" si="71"/>
        <v>929944422</v>
      </c>
      <c r="H51" s="49">
        <f t="shared" si="72"/>
        <v>252436954</v>
      </c>
      <c r="I51" s="49">
        <f t="shared" si="73"/>
        <v>990151050</v>
      </c>
      <c r="J51" s="49">
        <f t="shared" si="74"/>
        <v>1562412193</v>
      </c>
      <c r="K51" s="49">
        <f t="shared" si="75"/>
        <v>4100769928</v>
      </c>
      <c r="L51" s="49">
        <f t="shared" si="76"/>
        <v>211034433</v>
      </c>
      <c r="M51" s="49">
        <f t="shared" si="77"/>
        <v>649835899</v>
      </c>
      <c r="N51" s="49">
        <f t="shared" si="78"/>
        <v>3151428808</v>
      </c>
      <c r="O51" s="49">
        <f t="shared" si="79"/>
        <v>204537397</v>
      </c>
      <c r="P51" s="49">
        <f t="shared" si="80"/>
        <v>3264474694</v>
      </c>
      <c r="Q51" s="49">
        <f t="shared" si="81"/>
        <v>3822264935</v>
      </c>
      <c r="R51" s="49">
        <f t="shared" si="82"/>
        <v>650219938</v>
      </c>
      <c r="S51" s="24">
        <f t="shared" si="83"/>
        <v>4079000302</v>
      </c>
      <c r="T51" s="24">
        <f t="shared" si="84"/>
        <v>3589205851</v>
      </c>
      <c r="U51" s="24">
        <f t="shared" si="85"/>
        <v>3207727534</v>
      </c>
      <c r="V51" s="24">
        <f t="shared" si="86"/>
        <v>3982421749</v>
      </c>
      <c r="W51" s="24">
        <f t="shared" si="87"/>
        <v>3185437566</v>
      </c>
      <c r="X51" s="24">
        <f t="shared" si="88"/>
        <v>1678990810</v>
      </c>
      <c r="Y51" s="24">
        <f t="shared" si="89"/>
        <v>3005221038</v>
      </c>
      <c r="Z51" s="24">
        <f t="shared" si="90"/>
        <v>3310284369</v>
      </c>
      <c r="AA51" s="24">
        <f t="shared" si="91"/>
        <v>1276285760</v>
      </c>
      <c r="AB51" s="24">
        <f t="shared" si="92"/>
        <v>951058862</v>
      </c>
      <c r="AC51" s="24">
        <f t="shared" si="93"/>
        <v>202408768</v>
      </c>
      <c r="AD51" s="24">
        <f t="shared" si="94"/>
        <v>537919882</v>
      </c>
      <c r="AE51" s="24">
        <f t="shared" si="95"/>
        <v>4056905790</v>
      </c>
      <c r="AF51" s="24">
        <f t="shared" si="96"/>
        <v>1554209908</v>
      </c>
      <c r="AG51" s="24">
        <f t="shared" si="97"/>
        <v>3562144195</v>
      </c>
      <c r="AH51" s="24">
        <f t="shared" si="98"/>
        <v>979776874</v>
      </c>
      <c r="AI51" s="24">
        <f t="shared" si="99"/>
        <v>2874230791</v>
      </c>
      <c r="AJ51" s="24">
        <f t="shared" si="100"/>
        <v>216635605</v>
      </c>
      <c r="AK51" s="24">
        <f t="shared" si="101"/>
        <v>2908392000</v>
      </c>
      <c r="AL51" s="24">
        <f t="shared" si="102"/>
        <v>946293958</v>
      </c>
      <c r="AM51" s="24">
        <f t="shared" si="103"/>
        <v>2152726531</v>
      </c>
      <c r="AN51" s="24">
        <f t="shared" si="104"/>
        <v>140513344</v>
      </c>
      <c r="AO51" s="24">
        <f t="shared" si="105"/>
        <v>2130921924</v>
      </c>
      <c r="AP51" s="24">
        <f t="shared" si="106"/>
        <v>915385791</v>
      </c>
      <c r="AQ51" s="24">
        <f t="shared" si="107"/>
        <v>755107904</v>
      </c>
      <c r="AR51" s="24">
        <f t="shared" si="108"/>
        <v>805768326</v>
      </c>
      <c r="AS51" s="24">
        <f t="shared" si="109"/>
        <v>3529098116</v>
      </c>
      <c r="AT51" s="24">
        <f t="shared" si="110"/>
        <v>250143097</v>
      </c>
      <c r="AU51" s="24">
        <f t="shared" si="111"/>
        <v>70300721</v>
      </c>
      <c r="AV51" s="24">
        <f t="shared" si="112"/>
        <v>2190666816</v>
      </c>
      <c r="AW51" s="24">
        <f t="shared" si="113"/>
        <v>3242197508</v>
      </c>
      <c r="AX51" s="24">
        <f t="shared" si="114"/>
        <v>67174690</v>
      </c>
      <c r="BA51" s="24">
        <f t="shared" si="115"/>
        <v>3312498229</v>
      </c>
      <c r="BB51" s="24">
        <f t="shared" si="116"/>
        <v>2257841506</v>
      </c>
      <c r="BC51" s="24">
        <f t="shared" si="117"/>
        <v>858014534</v>
      </c>
      <c r="BD51" s="24">
        <f t="shared" si="118"/>
        <v>218177560</v>
      </c>
      <c r="BE51" s="24">
        <f t="shared" si="119"/>
        <v>855900418</v>
      </c>
      <c r="BF51" s="24">
        <f t="shared" si="120"/>
        <v>218103808</v>
      </c>
      <c r="BG51" s="24">
        <f t="shared" si="121"/>
        <v>855933186</v>
      </c>
      <c r="BH51" s="24">
        <f t="shared" si="122"/>
        <v>218136704</v>
      </c>
      <c r="BI51" s="24">
        <f t="shared" si="123"/>
        <v>855900418</v>
      </c>
      <c r="BJ51" s="24">
        <f t="shared" si="124"/>
        <v>218103808</v>
      </c>
      <c r="BK51" s="24">
        <f t="shared" si="125"/>
        <v>858047302</v>
      </c>
      <c r="BL51" s="24">
        <f t="shared" si="126"/>
        <v>218210456</v>
      </c>
      <c r="BM51" s="24">
        <f>MOD(R50+AF51+BB51+'📦 Константы SHA-512'!D49+BI245,4294967296)</f>
        <v>4075759269</v>
      </c>
      <c r="BN51" s="24">
        <f>INT((R50+AF51+BB51+'📦 Константы SHA-512'!D49+BI245)/4294967296)</f>
        <v>2</v>
      </c>
      <c r="BO51" s="24">
        <f>MOD(Q50+AE51+BA51+'📦 Константы SHA-512'!C49+BH245+BN51,4294967296)</f>
        <v>2260408149</v>
      </c>
      <c r="BP51" s="24" t="s">
        <v>343</v>
      </c>
      <c r="BQ51" s="24">
        <f t="shared" si="127"/>
        <v>468353553</v>
      </c>
      <c r="BR51" s="24">
        <f t="shared" si="128"/>
        <v>0</v>
      </c>
      <c r="BS51" s="24">
        <f t="shared" si="129"/>
        <v>92178122</v>
      </c>
      <c r="BU51" s="24">
        <f t="shared" si="130"/>
        <v>4100769928</v>
      </c>
      <c r="BV51" s="24">
        <f t="shared" si="131"/>
        <v>211034433</v>
      </c>
      <c r="BW51" s="24">
        <f t="shared" si="132"/>
        <v>2352586272</v>
      </c>
      <c r="BX51" s="24">
        <f t="shared" si="133"/>
        <v>249145526</v>
      </c>
    </row>
    <row r="52" spans="2:76" ht="12.75" customHeight="1" x14ac:dyDescent="0.25">
      <c r="B52" s="35">
        <v>47</v>
      </c>
      <c r="C52" s="51">
        <f t="shared" si="67"/>
        <v>1100742892</v>
      </c>
      <c r="D52" s="51">
        <f t="shared" si="68"/>
        <v>3749794609</v>
      </c>
      <c r="E52" s="51">
        <f t="shared" si="69"/>
        <v>2352586272</v>
      </c>
      <c r="F52" s="51">
        <f t="shared" si="70"/>
        <v>249145526</v>
      </c>
      <c r="G52" s="51">
        <f t="shared" si="71"/>
        <v>866542422</v>
      </c>
      <c r="H52" s="51">
        <f t="shared" si="72"/>
        <v>2906988572</v>
      </c>
      <c r="I52" s="51">
        <f t="shared" si="73"/>
        <v>929944422</v>
      </c>
      <c r="J52" s="51">
        <f t="shared" si="74"/>
        <v>252436954</v>
      </c>
      <c r="K52" s="51">
        <f t="shared" si="75"/>
        <v>2537643261</v>
      </c>
      <c r="L52" s="51">
        <f t="shared" si="76"/>
        <v>533217408</v>
      </c>
      <c r="M52" s="51">
        <f t="shared" si="77"/>
        <v>4100769928</v>
      </c>
      <c r="N52" s="51">
        <f t="shared" si="78"/>
        <v>211034433</v>
      </c>
      <c r="O52" s="51">
        <f t="shared" si="79"/>
        <v>649835899</v>
      </c>
      <c r="P52" s="51">
        <f t="shared" si="80"/>
        <v>3151428808</v>
      </c>
      <c r="Q52" s="51">
        <f t="shared" si="81"/>
        <v>204537397</v>
      </c>
      <c r="R52" s="51">
        <f t="shared" si="82"/>
        <v>3264474694</v>
      </c>
      <c r="S52" s="24">
        <f t="shared" si="83"/>
        <v>2231882163</v>
      </c>
      <c r="T52" s="24">
        <f t="shared" si="84"/>
        <v>572535376</v>
      </c>
      <c r="U52" s="24">
        <f t="shared" si="85"/>
        <v>139492635</v>
      </c>
      <c r="V52" s="24">
        <f t="shared" si="86"/>
        <v>841089829</v>
      </c>
      <c r="W52" s="24">
        <f t="shared" si="87"/>
        <v>1141262864</v>
      </c>
      <c r="X52" s="24">
        <f t="shared" si="88"/>
        <v>2700752484</v>
      </c>
      <c r="Y52" s="24">
        <f t="shared" si="89"/>
        <v>20755</v>
      </c>
      <c r="Z52" s="24">
        <f t="shared" si="90"/>
        <v>572523008</v>
      </c>
      <c r="AA52" s="24">
        <f t="shared" si="91"/>
        <v>2371333288</v>
      </c>
      <c r="AB52" s="24">
        <f t="shared" si="92"/>
        <v>268579189</v>
      </c>
      <c r="AC52" s="24">
        <f t="shared" si="93"/>
        <v>67504128</v>
      </c>
      <c r="AD52" s="24">
        <f t="shared" si="94"/>
        <v>143460</v>
      </c>
      <c r="AE52" s="24">
        <f t="shared" si="95"/>
        <v>3377587896</v>
      </c>
      <c r="AF52" s="24">
        <f t="shared" si="96"/>
        <v>2969044753</v>
      </c>
      <c r="AG52" s="24">
        <f t="shared" si="97"/>
        <v>3986328424</v>
      </c>
      <c r="AH52" s="24">
        <f t="shared" si="98"/>
        <v>3281641984</v>
      </c>
      <c r="AI52" s="24">
        <f t="shared" si="99"/>
        <v>62286381</v>
      </c>
      <c r="AJ52" s="24">
        <f t="shared" si="100"/>
        <v>2735630216</v>
      </c>
      <c r="AK52" s="24">
        <f t="shared" si="101"/>
        <v>1075688273</v>
      </c>
      <c r="AL52" s="24">
        <f t="shared" si="102"/>
        <v>1830318908</v>
      </c>
      <c r="AM52" s="24">
        <f t="shared" si="103"/>
        <v>26348072</v>
      </c>
      <c r="AN52" s="24">
        <f t="shared" si="104"/>
        <v>2198364672</v>
      </c>
      <c r="AO52" s="24">
        <f t="shared" si="105"/>
        <v>3995918661</v>
      </c>
      <c r="AP52" s="24">
        <f t="shared" si="106"/>
        <v>1620542856</v>
      </c>
      <c r="AQ52" s="24">
        <f t="shared" si="107"/>
        <v>1074569537</v>
      </c>
      <c r="AR52" s="24">
        <f t="shared" si="108"/>
        <v>1611661576</v>
      </c>
      <c r="AS52" s="24">
        <f t="shared" si="109"/>
        <v>2922467860</v>
      </c>
      <c r="AT52" s="24">
        <f t="shared" si="110"/>
        <v>227538612</v>
      </c>
      <c r="AU52" s="24">
        <f t="shared" si="111"/>
        <v>606633992</v>
      </c>
      <c r="AV52" s="24">
        <f t="shared" si="112"/>
        <v>143925312</v>
      </c>
      <c r="AW52" s="24">
        <f t="shared" si="113"/>
        <v>135280181</v>
      </c>
      <c r="AX52" s="24">
        <f t="shared" si="114"/>
        <v>3255029254</v>
      </c>
      <c r="BA52" s="24">
        <f t="shared" si="115"/>
        <v>741914173</v>
      </c>
      <c r="BB52" s="24">
        <f t="shared" si="116"/>
        <v>3398954566</v>
      </c>
      <c r="BC52" s="24">
        <f t="shared" si="117"/>
        <v>2097664</v>
      </c>
      <c r="BD52" s="24">
        <f t="shared" si="118"/>
        <v>205594644</v>
      </c>
      <c r="BE52" s="24">
        <f t="shared" si="119"/>
        <v>69833248</v>
      </c>
      <c r="BF52" s="24">
        <f t="shared" si="120"/>
        <v>235511954</v>
      </c>
      <c r="BG52" s="24">
        <f t="shared" si="121"/>
        <v>858014534</v>
      </c>
      <c r="BH52" s="24">
        <f t="shared" si="122"/>
        <v>218177560</v>
      </c>
      <c r="BI52" s="24">
        <f t="shared" si="123"/>
        <v>2097664</v>
      </c>
      <c r="BJ52" s="24">
        <f t="shared" si="124"/>
        <v>201400336</v>
      </c>
      <c r="BK52" s="24">
        <f t="shared" si="125"/>
        <v>925750118</v>
      </c>
      <c r="BL52" s="24">
        <f t="shared" si="126"/>
        <v>256483486</v>
      </c>
      <c r="BM52" s="24">
        <f>MOD(R51+AF52+BB52+'📦 Константы SHA-512'!D50+BI246,4294967296)</f>
        <v>3265772511</v>
      </c>
      <c r="BN52" s="24">
        <f>INT((R51+AF52+BB52+'📦 Константы SHA-512'!D50+BI246)/4294967296)</f>
        <v>2</v>
      </c>
      <c r="BO52" s="24">
        <f>MOD(Q51+AE52+BA52+'📦 Константы SHA-512'!C50+BH246+BN52,4294967296)</f>
        <v>1547492210</v>
      </c>
      <c r="BP52" s="24" t="s">
        <v>344</v>
      </c>
      <c r="BQ52" s="24">
        <f t="shared" si="127"/>
        <v>484022098</v>
      </c>
      <c r="BR52" s="24">
        <f t="shared" si="128"/>
        <v>0</v>
      </c>
      <c r="BS52" s="24">
        <f t="shared" si="129"/>
        <v>3848217978</v>
      </c>
      <c r="BU52" s="24">
        <f t="shared" si="130"/>
        <v>2537643261</v>
      </c>
      <c r="BV52" s="24">
        <f t="shared" si="131"/>
        <v>533217408</v>
      </c>
      <c r="BW52" s="24">
        <f t="shared" si="132"/>
        <v>1100742892</v>
      </c>
      <c r="BX52" s="24">
        <f t="shared" si="133"/>
        <v>3749794609</v>
      </c>
    </row>
    <row r="53" spans="2:76" ht="12.75" customHeight="1" x14ac:dyDescent="0.25">
      <c r="B53" s="37">
        <v>48</v>
      </c>
      <c r="C53" s="53">
        <f t="shared" si="67"/>
        <v>1311057993</v>
      </c>
      <c r="D53" s="53">
        <f t="shared" si="68"/>
        <v>1016325824</v>
      </c>
      <c r="E53" s="53">
        <f t="shared" si="69"/>
        <v>1100742892</v>
      </c>
      <c r="F53" s="53">
        <f t="shared" si="70"/>
        <v>3749794609</v>
      </c>
      <c r="G53" s="53">
        <f t="shared" si="71"/>
        <v>2352586272</v>
      </c>
      <c r="H53" s="53">
        <f t="shared" si="72"/>
        <v>249145526</v>
      </c>
      <c r="I53" s="53">
        <f t="shared" si="73"/>
        <v>866542422</v>
      </c>
      <c r="J53" s="53">
        <f t="shared" si="74"/>
        <v>2906988572</v>
      </c>
      <c r="K53" s="53">
        <f t="shared" si="75"/>
        <v>1837929420</v>
      </c>
      <c r="L53" s="53">
        <f t="shared" si="76"/>
        <v>2428137839</v>
      </c>
      <c r="M53" s="53">
        <f t="shared" si="77"/>
        <v>2537643261</v>
      </c>
      <c r="N53" s="53">
        <f t="shared" si="78"/>
        <v>533217408</v>
      </c>
      <c r="O53" s="53">
        <f t="shared" si="79"/>
        <v>4100769928</v>
      </c>
      <c r="P53" s="53">
        <f t="shared" si="80"/>
        <v>211034433</v>
      </c>
      <c r="Q53" s="53">
        <f t="shared" si="81"/>
        <v>649835899</v>
      </c>
      <c r="R53" s="53">
        <f t="shared" si="82"/>
        <v>3151428808</v>
      </c>
      <c r="S53" s="24">
        <f t="shared" si="83"/>
        <v>33709317</v>
      </c>
      <c r="T53" s="24">
        <f t="shared" si="84"/>
        <v>1945403169</v>
      </c>
      <c r="U53" s="24">
        <f t="shared" si="85"/>
        <v>270542288</v>
      </c>
      <c r="V53" s="24">
        <f t="shared" si="86"/>
        <v>1463764978</v>
      </c>
      <c r="W53" s="24">
        <f t="shared" si="87"/>
        <v>2123359264</v>
      </c>
      <c r="X53" s="24">
        <f t="shared" si="88"/>
        <v>1078698158</v>
      </c>
      <c r="Y53" s="24">
        <f t="shared" si="89"/>
        <v>1280</v>
      </c>
      <c r="Z53" s="24">
        <f t="shared" si="90"/>
        <v>1395935008</v>
      </c>
      <c r="AA53" s="24">
        <f t="shared" si="91"/>
        <v>304249045</v>
      </c>
      <c r="AB53" s="24">
        <f t="shared" si="92"/>
        <v>617298131</v>
      </c>
      <c r="AC53" s="24">
        <f t="shared" si="93"/>
        <v>302145536</v>
      </c>
      <c r="AD53" s="24">
        <f t="shared" si="94"/>
        <v>4923522</v>
      </c>
      <c r="AE53" s="24">
        <f t="shared" si="95"/>
        <v>1823317237</v>
      </c>
      <c r="AF53" s="24">
        <f t="shared" si="96"/>
        <v>1686149245</v>
      </c>
      <c r="AG53" s="24">
        <f t="shared" si="97"/>
        <v>4162138900</v>
      </c>
      <c r="AH53" s="24">
        <f t="shared" si="98"/>
        <v>432017101</v>
      </c>
      <c r="AI53" s="24">
        <f t="shared" si="99"/>
        <v>937448652</v>
      </c>
      <c r="AJ53" s="24">
        <f t="shared" si="100"/>
        <v>1348927547</v>
      </c>
      <c r="AK53" s="24">
        <f t="shared" si="101"/>
        <v>3653173926</v>
      </c>
      <c r="AL53" s="24">
        <f t="shared" si="102"/>
        <v>1652766721</v>
      </c>
      <c r="AM53" s="24">
        <f t="shared" si="103"/>
        <v>805310468</v>
      </c>
      <c r="AN53" s="24">
        <f t="shared" si="104"/>
        <v>272629769</v>
      </c>
      <c r="AO53" s="24">
        <f t="shared" si="105"/>
        <v>3488966616</v>
      </c>
      <c r="AP53" s="24">
        <f t="shared" si="106"/>
        <v>1235685110</v>
      </c>
      <c r="AQ53" s="24">
        <f t="shared" si="107"/>
        <v>3384083072</v>
      </c>
      <c r="AR53" s="24">
        <f t="shared" si="108"/>
        <v>1082329088</v>
      </c>
      <c r="AS53" s="24">
        <f t="shared" si="109"/>
        <v>373974398</v>
      </c>
      <c r="AT53" s="24">
        <f t="shared" si="110"/>
        <v>723793655</v>
      </c>
      <c r="AU53" s="24">
        <f t="shared" si="111"/>
        <v>2487240840</v>
      </c>
      <c r="AV53" s="24">
        <f t="shared" si="112"/>
        <v>209715200</v>
      </c>
      <c r="AW53" s="24">
        <f t="shared" si="113"/>
        <v>549101826</v>
      </c>
      <c r="AX53" s="24">
        <f t="shared" si="114"/>
        <v>2685844552</v>
      </c>
      <c r="BA53" s="24">
        <f t="shared" si="115"/>
        <v>3036342666</v>
      </c>
      <c r="BB53" s="24">
        <f t="shared" si="116"/>
        <v>2895559752</v>
      </c>
      <c r="BC53" s="24">
        <f t="shared" si="117"/>
        <v>1572896</v>
      </c>
      <c r="BD53" s="24">
        <f t="shared" si="118"/>
        <v>243335216</v>
      </c>
      <c r="BE53" s="24">
        <f t="shared" si="119"/>
        <v>25428036</v>
      </c>
      <c r="BF53" s="24">
        <f t="shared" si="120"/>
        <v>2365653008</v>
      </c>
      <c r="BG53" s="24">
        <f t="shared" si="121"/>
        <v>2097664</v>
      </c>
      <c r="BH53" s="24">
        <f t="shared" si="122"/>
        <v>205594644</v>
      </c>
      <c r="BI53" s="24">
        <f t="shared" si="123"/>
        <v>0</v>
      </c>
      <c r="BJ53" s="24">
        <f t="shared" si="124"/>
        <v>201392144</v>
      </c>
      <c r="BK53" s="24">
        <f t="shared" si="125"/>
        <v>29098596</v>
      </c>
      <c r="BL53" s="24">
        <f t="shared" si="126"/>
        <v>2411798580</v>
      </c>
      <c r="BM53" s="24">
        <f>MOD(R52+AF53+BB53+'📦 Константы SHA-512'!D51+BI247,4294967296)</f>
        <v>2175700885</v>
      </c>
      <c r="BN53" s="24">
        <f>INT((R52+AF53+BB53+'📦 Константы SHA-512'!D51+BI247)/4294967296)</f>
        <v>2</v>
      </c>
      <c r="BO53" s="24">
        <f>MOD(Q52+AE53+BA53+'📦 Константы SHA-512'!C51+BH247+BN53,4294967296)</f>
        <v>907984998</v>
      </c>
      <c r="BP53" s="24" t="s">
        <v>345</v>
      </c>
      <c r="BQ53" s="24">
        <f t="shared" si="127"/>
        <v>3135592235</v>
      </c>
      <c r="BR53" s="24">
        <f t="shared" si="128"/>
        <v>0</v>
      </c>
      <c r="BS53" s="24">
        <f t="shared" si="129"/>
        <v>403072994</v>
      </c>
      <c r="BU53" s="24">
        <f t="shared" si="130"/>
        <v>1837929420</v>
      </c>
      <c r="BV53" s="24">
        <f t="shared" si="131"/>
        <v>2428137839</v>
      </c>
      <c r="BW53" s="24">
        <f t="shared" si="132"/>
        <v>1311057993</v>
      </c>
      <c r="BX53" s="24">
        <f t="shared" si="133"/>
        <v>1016325824</v>
      </c>
    </row>
    <row r="54" spans="2:76" ht="12.75" customHeight="1" x14ac:dyDescent="0.25">
      <c r="B54" s="39">
        <v>49</v>
      </c>
      <c r="C54" s="23">
        <f t="shared" si="67"/>
        <v>3404852745</v>
      </c>
      <c r="D54" s="23">
        <f t="shared" si="68"/>
        <v>4128682224</v>
      </c>
      <c r="E54" s="23">
        <f t="shared" si="69"/>
        <v>1311057993</v>
      </c>
      <c r="F54" s="23">
        <f t="shared" si="70"/>
        <v>1016325824</v>
      </c>
      <c r="G54" s="23">
        <f t="shared" si="71"/>
        <v>1100742892</v>
      </c>
      <c r="H54" s="23">
        <f t="shared" si="72"/>
        <v>3749794609</v>
      </c>
      <c r="I54" s="23">
        <f t="shared" si="73"/>
        <v>2352586272</v>
      </c>
      <c r="J54" s="23">
        <f t="shared" si="74"/>
        <v>249145526</v>
      </c>
      <c r="K54" s="23">
        <f t="shared" si="75"/>
        <v>2650248831</v>
      </c>
      <c r="L54" s="23">
        <f t="shared" si="76"/>
        <v>327313803</v>
      </c>
      <c r="M54" s="23">
        <f t="shared" si="77"/>
        <v>1837929420</v>
      </c>
      <c r="N54" s="23">
        <f t="shared" si="78"/>
        <v>2428137839</v>
      </c>
      <c r="O54" s="23">
        <f t="shared" si="79"/>
        <v>2537643261</v>
      </c>
      <c r="P54" s="23">
        <f t="shared" si="80"/>
        <v>533217408</v>
      </c>
      <c r="Q54" s="23">
        <f t="shared" si="81"/>
        <v>4100769928</v>
      </c>
      <c r="R54" s="23">
        <f t="shared" si="82"/>
        <v>211034433</v>
      </c>
      <c r="S54" s="24">
        <f t="shared" si="83"/>
        <v>3317544498</v>
      </c>
      <c r="T54" s="24">
        <f t="shared" si="84"/>
        <v>1328693993</v>
      </c>
      <c r="U54" s="24">
        <f t="shared" si="85"/>
        <v>2623265635</v>
      </c>
      <c r="V54" s="24">
        <f t="shared" si="86"/>
        <v>619914286</v>
      </c>
      <c r="W54" s="24">
        <f t="shared" si="87"/>
        <v>3863502136</v>
      </c>
      <c r="X54" s="24">
        <f t="shared" si="88"/>
        <v>3082208841</v>
      </c>
      <c r="Y54" s="24">
        <f t="shared" si="89"/>
        <v>2216268322</v>
      </c>
      <c r="Z54" s="24">
        <f t="shared" si="90"/>
        <v>70385704</v>
      </c>
      <c r="AA54" s="24">
        <f t="shared" si="91"/>
        <v>1508273489</v>
      </c>
      <c r="AB54" s="24">
        <f t="shared" si="92"/>
        <v>1807836871</v>
      </c>
      <c r="AC54" s="24">
        <f t="shared" si="93"/>
        <v>1077955856</v>
      </c>
      <c r="AD54" s="24">
        <f t="shared" si="94"/>
        <v>595609153</v>
      </c>
      <c r="AE54" s="24">
        <f t="shared" si="95"/>
        <v>3215863913</v>
      </c>
      <c r="AF54" s="24">
        <f t="shared" si="96"/>
        <v>3698827406</v>
      </c>
      <c r="AG54" s="24">
        <f t="shared" si="97"/>
        <v>3376311300</v>
      </c>
      <c r="AH54" s="24">
        <f t="shared" si="98"/>
        <v>3797058707</v>
      </c>
      <c r="AI54" s="24">
        <f t="shared" si="99"/>
        <v>1327823280</v>
      </c>
      <c r="AJ54" s="24">
        <f t="shared" si="100"/>
        <v>327764498</v>
      </c>
      <c r="AK54" s="24">
        <f t="shared" si="101"/>
        <v>2457413581</v>
      </c>
      <c r="AL54" s="24">
        <f t="shared" si="102"/>
        <v>2157726288</v>
      </c>
      <c r="AM54" s="24">
        <f t="shared" si="103"/>
        <v>1227122688</v>
      </c>
      <c r="AN54" s="24">
        <f t="shared" si="104"/>
        <v>33554450</v>
      </c>
      <c r="AO54" s="24">
        <f t="shared" si="105"/>
        <v>2249889204</v>
      </c>
      <c r="AP54" s="24">
        <f t="shared" si="106"/>
        <v>4057714305</v>
      </c>
      <c r="AQ54" s="24">
        <f t="shared" si="107"/>
        <v>2182612356</v>
      </c>
      <c r="AR54" s="24">
        <f t="shared" si="108"/>
        <v>2157464064</v>
      </c>
      <c r="AS54" s="24">
        <f t="shared" si="109"/>
        <v>342078073</v>
      </c>
      <c r="AT54" s="24">
        <f t="shared" si="110"/>
        <v>1900512465</v>
      </c>
      <c r="AU54" s="24">
        <f t="shared" si="111"/>
        <v>83890380</v>
      </c>
      <c r="AV54" s="24">
        <f t="shared" si="112"/>
        <v>277364736</v>
      </c>
      <c r="AW54" s="24">
        <f t="shared" si="113"/>
        <v>2422228992</v>
      </c>
      <c r="AX54" s="24">
        <f t="shared" si="114"/>
        <v>201588736</v>
      </c>
      <c r="BA54" s="24">
        <f t="shared" si="115"/>
        <v>2506119372</v>
      </c>
      <c r="BB54" s="24">
        <f t="shared" si="116"/>
        <v>478953472</v>
      </c>
      <c r="BC54" s="24">
        <f t="shared" si="117"/>
        <v>1074004040</v>
      </c>
      <c r="BD54" s="24">
        <f t="shared" si="118"/>
        <v>478233088</v>
      </c>
      <c r="BE54" s="24">
        <f t="shared" si="119"/>
        <v>203491328</v>
      </c>
      <c r="BF54" s="24">
        <f t="shared" si="120"/>
        <v>210870400</v>
      </c>
      <c r="BG54" s="24">
        <f t="shared" si="121"/>
        <v>1572896</v>
      </c>
      <c r="BH54" s="24">
        <f t="shared" si="122"/>
        <v>243335216</v>
      </c>
      <c r="BI54" s="24">
        <f t="shared" si="123"/>
        <v>0</v>
      </c>
      <c r="BJ54" s="24">
        <f t="shared" si="124"/>
        <v>209780736</v>
      </c>
      <c r="BK54" s="24">
        <f t="shared" si="125"/>
        <v>1279068264</v>
      </c>
      <c r="BL54" s="24">
        <f t="shared" si="126"/>
        <v>512877232</v>
      </c>
      <c r="BM54" s="24">
        <f>MOD(R53+AF54+BB54+'📦 Константы SHA-512'!D52+BI248,4294967296)</f>
        <v>1715292527</v>
      </c>
      <c r="BN54" s="24">
        <f>INT((R53+AF54+BB54+'📦 Константы SHA-512'!D52+BI248)/4294967296)</f>
        <v>3</v>
      </c>
      <c r="BO54" s="24">
        <f>MOD(Q53+AE54+BA54+'📦 Константы SHA-512'!C52+BH248+BN54,4294967296)</f>
        <v>1783706408</v>
      </c>
      <c r="BP54" s="24" t="s">
        <v>346</v>
      </c>
      <c r="BQ54" s="24">
        <f t="shared" si="127"/>
        <v>2413389697</v>
      </c>
      <c r="BR54" s="24">
        <f t="shared" si="128"/>
        <v>0</v>
      </c>
      <c r="BS54" s="24">
        <f t="shared" si="129"/>
        <v>1621146337</v>
      </c>
      <c r="BU54" s="24">
        <f t="shared" si="130"/>
        <v>2650248831</v>
      </c>
      <c r="BV54" s="24">
        <f t="shared" si="131"/>
        <v>327313803</v>
      </c>
      <c r="BW54" s="24">
        <f t="shared" si="132"/>
        <v>3404852745</v>
      </c>
      <c r="BX54" s="24">
        <f t="shared" si="133"/>
        <v>4128682224</v>
      </c>
    </row>
    <row r="55" spans="2:76" ht="12.75" customHeight="1" x14ac:dyDescent="0.25">
      <c r="B55" s="41">
        <v>50</v>
      </c>
      <c r="C55" s="26">
        <f t="shared" si="67"/>
        <v>3162944851</v>
      </c>
      <c r="D55" s="26">
        <f t="shared" si="68"/>
        <v>734734195</v>
      </c>
      <c r="E55" s="26">
        <f t="shared" si="69"/>
        <v>3404852745</v>
      </c>
      <c r="F55" s="26">
        <f t="shared" si="70"/>
        <v>4128682224</v>
      </c>
      <c r="G55" s="26">
        <f t="shared" si="71"/>
        <v>1311057993</v>
      </c>
      <c r="H55" s="26">
        <f t="shared" si="72"/>
        <v>1016325824</v>
      </c>
      <c r="I55" s="26">
        <f t="shared" si="73"/>
        <v>1100742892</v>
      </c>
      <c r="J55" s="26">
        <f t="shared" si="74"/>
        <v>3749794609</v>
      </c>
      <c r="K55" s="26">
        <f t="shared" si="75"/>
        <v>4010319063</v>
      </c>
      <c r="L55" s="26">
        <f t="shared" si="76"/>
        <v>3218695288</v>
      </c>
      <c r="M55" s="26">
        <f t="shared" si="77"/>
        <v>2650248831</v>
      </c>
      <c r="N55" s="26">
        <f t="shared" si="78"/>
        <v>327313803</v>
      </c>
      <c r="O55" s="26">
        <f t="shared" si="79"/>
        <v>1837929420</v>
      </c>
      <c r="P55" s="26">
        <f t="shared" si="80"/>
        <v>2428137839</v>
      </c>
      <c r="Q55" s="26">
        <f t="shared" si="81"/>
        <v>2537643261</v>
      </c>
      <c r="R55" s="26">
        <f t="shared" si="82"/>
        <v>533217408</v>
      </c>
      <c r="S55" s="24">
        <f t="shared" si="83"/>
        <v>2788063198</v>
      </c>
      <c r="T55" s="24">
        <f t="shared" si="84"/>
        <v>1509707273</v>
      </c>
      <c r="U55" s="24">
        <f t="shared" si="85"/>
        <v>2590173053</v>
      </c>
      <c r="V55" s="24">
        <f t="shared" si="86"/>
        <v>3852453088</v>
      </c>
      <c r="W55" s="24">
        <f t="shared" si="87"/>
        <v>1065992500</v>
      </c>
      <c r="X55" s="24">
        <f t="shared" si="88"/>
        <v>3318676427</v>
      </c>
      <c r="Y55" s="24">
        <f t="shared" si="89"/>
        <v>2183292764</v>
      </c>
      <c r="Z55" s="24">
        <f t="shared" si="90"/>
        <v>1100760064</v>
      </c>
      <c r="AA55" s="24">
        <f t="shared" si="91"/>
        <v>1011650723</v>
      </c>
      <c r="AB55" s="24">
        <f t="shared" si="92"/>
        <v>3160640233</v>
      </c>
      <c r="AC55" s="24">
        <f t="shared" si="93"/>
        <v>1007190048</v>
      </c>
      <c r="AD55" s="24">
        <f t="shared" si="94"/>
        <v>2218953417</v>
      </c>
      <c r="AE55" s="24">
        <f t="shared" si="95"/>
        <v>63263127</v>
      </c>
      <c r="AF55" s="24">
        <f t="shared" si="96"/>
        <v>2041409826</v>
      </c>
      <c r="AG55" s="24">
        <f t="shared" si="97"/>
        <v>1634406156</v>
      </c>
      <c r="AH55" s="24">
        <f t="shared" si="98"/>
        <v>2938036383</v>
      </c>
      <c r="AI55" s="24">
        <f t="shared" si="99"/>
        <v>2105912380</v>
      </c>
      <c r="AJ55" s="24">
        <f t="shared" si="100"/>
        <v>851213186</v>
      </c>
      <c r="AK55" s="24">
        <f t="shared" si="101"/>
        <v>334245217</v>
      </c>
      <c r="AL55" s="24">
        <f t="shared" si="102"/>
        <v>3784696796</v>
      </c>
      <c r="AM55" s="24">
        <f t="shared" si="103"/>
        <v>1627458572</v>
      </c>
      <c r="AN55" s="24">
        <f t="shared" si="104"/>
        <v>572285058</v>
      </c>
      <c r="AO55" s="24">
        <f t="shared" si="105"/>
        <v>485401392</v>
      </c>
      <c r="AP55" s="24">
        <f t="shared" si="106"/>
        <v>2644679453</v>
      </c>
      <c r="AQ55" s="24">
        <f t="shared" si="107"/>
        <v>283910432</v>
      </c>
      <c r="AR55" s="24">
        <f t="shared" si="108"/>
        <v>2172683036</v>
      </c>
      <c r="AS55" s="24">
        <f t="shared" si="109"/>
        <v>251825745</v>
      </c>
      <c r="AT55" s="24">
        <f t="shared" si="110"/>
        <v>2084010177</v>
      </c>
      <c r="AU55" s="24">
        <f t="shared" si="111"/>
        <v>226792012</v>
      </c>
      <c r="AV55" s="24">
        <f t="shared" si="112"/>
        <v>276979979</v>
      </c>
      <c r="AW55" s="24">
        <f t="shared" si="113"/>
        <v>33572992</v>
      </c>
      <c r="AX55" s="24">
        <f t="shared" si="114"/>
        <v>206045184</v>
      </c>
      <c r="BA55" s="24">
        <f t="shared" si="115"/>
        <v>260365004</v>
      </c>
      <c r="BB55" s="24">
        <f t="shared" si="116"/>
        <v>483025163</v>
      </c>
      <c r="BC55" s="24">
        <f t="shared" si="117"/>
        <v>1243686921</v>
      </c>
      <c r="BD55" s="24">
        <f t="shared" si="118"/>
        <v>873636032</v>
      </c>
      <c r="BE55" s="24">
        <f t="shared" si="119"/>
        <v>1083179016</v>
      </c>
      <c r="BF55" s="24">
        <f t="shared" si="120"/>
        <v>3590328368</v>
      </c>
      <c r="BG55" s="24">
        <f t="shared" si="121"/>
        <v>1074004040</v>
      </c>
      <c r="BH55" s="24">
        <f t="shared" si="122"/>
        <v>478233088</v>
      </c>
      <c r="BI55" s="24">
        <f t="shared" si="123"/>
        <v>1073741832</v>
      </c>
      <c r="BJ55" s="24">
        <f t="shared" si="124"/>
        <v>335544320</v>
      </c>
      <c r="BK55" s="24">
        <f t="shared" si="125"/>
        <v>1253386313</v>
      </c>
      <c r="BL55" s="24">
        <f t="shared" si="126"/>
        <v>4271108848</v>
      </c>
      <c r="BM55" s="24">
        <f>MOD(R54+AF55+BB55+'📦 Константы SHA-512'!D53+BI249,4294967296)</f>
        <v>2969549762</v>
      </c>
      <c r="BN55" s="24">
        <f>INT((R54+AF55+BB55+'📦 Константы SHA-512'!D53+BI249)/4294967296)</f>
        <v>1</v>
      </c>
      <c r="BO55" s="24">
        <f>MOD(Q54+AE55+BA55+'📦 Константы SHA-512'!C53+BH249+BN55,4294967296)</f>
        <v>1657732791</v>
      </c>
      <c r="BP55" s="24" t="s">
        <v>347</v>
      </c>
      <c r="BQ55" s="24">
        <f t="shared" si="127"/>
        <v>2060151729</v>
      </c>
      <c r="BR55" s="24">
        <f t="shared" si="128"/>
        <v>1</v>
      </c>
      <c r="BS55" s="24">
        <f t="shared" si="129"/>
        <v>1505212059</v>
      </c>
      <c r="BU55" s="24">
        <f t="shared" si="130"/>
        <v>4010319063</v>
      </c>
      <c r="BV55" s="24">
        <f t="shared" si="131"/>
        <v>3218695288</v>
      </c>
      <c r="BW55" s="24">
        <f t="shared" si="132"/>
        <v>3162944851</v>
      </c>
      <c r="BX55" s="24">
        <f t="shared" si="133"/>
        <v>734734195</v>
      </c>
    </row>
    <row r="56" spans="2:76" ht="12.75" customHeight="1" x14ac:dyDescent="0.25">
      <c r="B56" s="43">
        <v>51</v>
      </c>
      <c r="C56" s="28">
        <f t="shared" si="67"/>
        <v>4240495193</v>
      </c>
      <c r="D56" s="28">
        <f t="shared" si="68"/>
        <v>659131139</v>
      </c>
      <c r="E56" s="28">
        <f t="shared" si="69"/>
        <v>3162944851</v>
      </c>
      <c r="F56" s="28">
        <f t="shared" si="70"/>
        <v>734734195</v>
      </c>
      <c r="G56" s="28">
        <f t="shared" si="71"/>
        <v>3404852745</v>
      </c>
      <c r="H56" s="28">
        <f t="shared" si="72"/>
        <v>4128682224</v>
      </c>
      <c r="I56" s="28">
        <f t="shared" si="73"/>
        <v>1311057993</v>
      </c>
      <c r="J56" s="28">
        <f t="shared" si="74"/>
        <v>1016325824</v>
      </c>
      <c r="K56" s="28">
        <f t="shared" si="75"/>
        <v>2678062675</v>
      </c>
      <c r="L56" s="28">
        <f t="shared" si="76"/>
        <v>134431288</v>
      </c>
      <c r="M56" s="28">
        <f t="shared" si="77"/>
        <v>4010319063</v>
      </c>
      <c r="N56" s="28">
        <f t="shared" si="78"/>
        <v>3218695288</v>
      </c>
      <c r="O56" s="28">
        <f t="shared" si="79"/>
        <v>2650248831</v>
      </c>
      <c r="P56" s="28">
        <f t="shared" si="80"/>
        <v>327313803</v>
      </c>
      <c r="Q56" s="28">
        <f t="shared" si="81"/>
        <v>1837929420</v>
      </c>
      <c r="R56" s="28">
        <f t="shared" si="82"/>
        <v>2428137839</v>
      </c>
      <c r="S56" s="24">
        <f t="shared" si="83"/>
        <v>2447621154</v>
      </c>
      <c r="T56" s="24">
        <f t="shared" si="84"/>
        <v>1935605605</v>
      </c>
      <c r="U56" s="24">
        <f t="shared" si="85"/>
        <v>1495153602</v>
      </c>
      <c r="V56" s="24">
        <f t="shared" si="86"/>
        <v>657846262</v>
      </c>
      <c r="W56" s="24">
        <f t="shared" si="87"/>
        <v>1809837234</v>
      </c>
      <c r="X56" s="24">
        <f t="shared" si="88"/>
        <v>1014465614</v>
      </c>
      <c r="Y56" s="24">
        <f t="shared" si="89"/>
        <v>285358082</v>
      </c>
      <c r="Z56" s="24">
        <f t="shared" si="90"/>
        <v>588574564</v>
      </c>
      <c r="AA56" s="24">
        <f t="shared" si="91"/>
        <v>3372058592</v>
      </c>
      <c r="AB56" s="24">
        <f t="shared" si="92"/>
        <v>1416302739</v>
      </c>
      <c r="AC56" s="24">
        <f t="shared" si="93"/>
        <v>1222476960</v>
      </c>
      <c r="AD56" s="24">
        <f t="shared" si="94"/>
        <v>342032386</v>
      </c>
      <c r="AE56" s="24">
        <f t="shared" si="95"/>
        <v>2736941906</v>
      </c>
      <c r="AF56" s="24">
        <f t="shared" si="96"/>
        <v>1746703581</v>
      </c>
      <c r="AG56" s="24">
        <f t="shared" si="97"/>
        <v>3165812539</v>
      </c>
      <c r="AH56" s="24">
        <f t="shared" si="98"/>
        <v>3362477362</v>
      </c>
      <c r="AI56" s="24">
        <f t="shared" si="99"/>
        <v>3404909020</v>
      </c>
      <c r="AJ56" s="24">
        <f t="shared" si="100"/>
        <v>4011961684</v>
      </c>
      <c r="AK56" s="24">
        <f t="shared" si="101"/>
        <v>2790757966</v>
      </c>
      <c r="AL56" s="24">
        <f t="shared" si="102"/>
        <v>3883470186</v>
      </c>
      <c r="AM56" s="24">
        <f t="shared" si="103"/>
        <v>2293383448</v>
      </c>
      <c r="AN56" s="24">
        <f t="shared" si="104"/>
        <v>3357607184</v>
      </c>
      <c r="AO56" s="24">
        <f t="shared" si="105"/>
        <v>1983954663</v>
      </c>
      <c r="AP56" s="24">
        <f t="shared" si="106"/>
        <v>659224678</v>
      </c>
      <c r="AQ56" s="24">
        <f t="shared" si="107"/>
        <v>641766982</v>
      </c>
      <c r="AR56" s="24">
        <f t="shared" si="108"/>
        <v>659032162</v>
      </c>
      <c r="AS56" s="24">
        <f t="shared" si="109"/>
        <v>3491178665</v>
      </c>
      <c r="AT56" s="24">
        <f t="shared" si="110"/>
        <v>3224630540</v>
      </c>
      <c r="AU56" s="24">
        <f t="shared" si="111"/>
        <v>2365625431</v>
      </c>
      <c r="AV56" s="24">
        <f t="shared" si="112"/>
        <v>327180296</v>
      </c>
      <c r="AW56" s="24">
        <f t="shared" si="113"/>
        <v>8651528</v>
      </c>
      <c r="AX56" s="24">
        <f t="shared" si="114"/>
        <v>2232583</v>
      </c>
      <c r="BA56" s="24">
        <f t="shared" si="115"/>
        <v>2374276959</v>
      </c>
      <c r="BB56" s="24">
        <f t="shared" si="116"/>
        <v>329412879</v>
      </c>
      <c r="BC56" s="24">
        <f t="shared" si="117"/>
        <v>2290131969</v>
      </c>
      <c r="BD56" s="24">
        <f t="shared" si="118"/>
        <v>570564720</v>
      </c>
      <c r="BE56" s="24">
        <f t="shared" si="119"/>
        <v>201596993</v>
      </c>
      <c r="BF56" s="24">
        <f t="shared" si="120"/>
        <v>679683648</v>
      </c>
      <c r="BG56" s="24">
        <f t="shared" si="121"/>
        <v>1243686921</v>
      </c>
      <c r="BH56" s="24">
        <f t="shared" si="122"/>
        <v>873636032</v>
      </c>
      <c r="BI56" s="24">
        <f t="shared" si="123"/>
        <v>134225921</v>
      </c>
      <c r="BJ56" s="24">
        <f t="shared" si="124"/>
        <v>537010240</v>
      </c>
      <c r="BK56" s="24">
        <f t="shared" si="125"/>
        <v>3466964041</v>
      </c>
      <c r="BL56" s="24">
        <f t="shared" si="126"/>
        <v>1049863920</v>
      </c>
      <c r="BM56" s="24">
        <f>MOD(R55+AF56+BB56+'📦 Константы SHA-512'!D54+BI250,4294967296)</f>
        <v>679603975</v>
      </c>
      <c r="BN56" s="24">
        <f>INT((R55+AF56+BB56+'📦 Константы SHA-512'!D54+BI250)/4294967296)</f>
        <v>2</v>
      </c>
      <c r="BO56" s="24">
        <f>MOD(Q55+AE56+BA56+'📦 Константы SHA-512'!C54+BH250+BN56,4294967296)</f>
        <v>1577319782</v>
      </c>
      <c r="BP56" s="24" t="s">
        <v>348</v>
      </c>
      <c r="BQ56" s="24">
        <f t="shared" si="127"/>
        <v>4274494460</v>
      </c>
      <c r="BR56" s="24">
        <f t="shared" si="128"/>
        <v>0</v>
      </c>
      <c r="BS56" s="24">
        <f t="shared" si="129"/>
        <v>2663175410</v>
      </c>
      <c r="BU56" s="24">
        <f t="shared" si="130"/>
        <v>2678062675</v>
      </c>
      <c r="BV56" s="24">
        <f t="shared" si="131"/>
        <v>134431288</v>
      </c>
      <c r="BW56" s="24">
        <f t="shared" si="132"/>
        <v>4240495193</v>
      </c>
      <c r="BX56" s="24">
        <f t="shared" si="133"/>
        <v>659131139</v>
      </c>
    </row>
    <row r="57" spans="2:76" ht="12.75" customHeight="1" x14ac:dyDescent="0.25">
      <c r="B57" s="20">
        <v>52</v>
      </c>
      <c r="C57" s="30">
        <f t="shared" si="67"/>
        <v>2438213716</v>
      </c>
      <c r="D57" s="30">
        <f t="shared" si="68"/>
        <v>203671901</v>
      </c>
      <c r="E57" s="30">
        <f t="shared" si="69"/>
        <v>4240495193</v>
      </c>
      <c r="F57" s="30">
        <f t="shared" si="70"/>
        <v>659131139</v>
      </c>
      <c r="G57" s="30">
        <f t="shared" si="71"/>
        <v>3162944851</v>
      </c>
      <c r="H57" s="30">
        <f t="shared" si="72"/>
        <v>734734195</v>
      </c>
      <c r="I57" s="30">
        <f t="shared" si="73"/>
        <v>3404852745</v>
      </c>
      <c r="J57" s="30">
        <f t="shared" si="74"/>
        <v>4128682224</v>
      </c>
      <c r="K57" s="30">
        <f t="shared" si="75"/>
        <v>1404313690</v>
      </c>
      <c r="L57" s="30">
        <f t="shared" si="76"/>
        <v>3970399242</v>
      </c>
      <c r="M57" s="30">
        <f t="shared" si="77"/>
        <v>2678062675</v>
      </c>
      <c r="N57" s="30">
        <f t="shared" si="78"/>
        <v>134431288</v>
      </c>
      <c r="O57" s="30">
        <f t="shared" si="79"/>
        <v>4010319063</v>
      </c>
      <c r="P57" s="30">
        <f t="shared" si="80"/>
        <v>3218695288</v>
      </c>
      <c r="Q57" s="30">
        <f t="shared" si="81"/>
        <v>2650248831</v>
      </c>
      <c r="R57" s="30">
        <f t="shared" si="82"/>
        <v>327313803</v>
      </c>
      <c r="S57" s="24">
        <f t="shared" si="83"/>
        <v>149061247</v>
      </c>
      <c r="T57" s="24">
        <f t="shared" si="84"/>
        <v>4182515725</v>
      </c>
      <c r="U57" s="24">
        <f t="shared" si="85"/>
        <v>3498977255</v>
      </c>
      <c r="V57" s="24">
        <f t="shared" si="86"/>
        <v>4287939072</v>
      </c>
      <c r="W57" s="24">
        <f t="shared" si="87"/>
        <v>696517025</v>
      </c>
      <c r="X57" s="24">
        <f t="shared" si="88"/>
        <v>474992639</v>
      </c>
      <c r="Y57" s="24">
        <f t="shared" si="89"/>
        <v>8529511</v>
      </c>
      <c r="Z57" s="24">
        <f t="shared" si="90"/>
        <v>4177788928</v>
      </c>
      <c r="AA57" s="24">
        <f t="shared" si="91"/>
        <v>3630979480</v>
      </c>
      <c r="AB57" s="24">
        <f t="shared" si="92"/>
        <v>114876941</v>
      </c>
      <c r="AC57" s="24">
        <f t="shared" si="93"/>
        <v>134480256</v>
      </c>
      <c r="AD57" s="24">
        <f t="shared" si="94"/>
        <v>71877133</v>
      </c>
      <c r="AE57" s="24">
        <f t="shared" si="95"/>
        <v>4058535993</v>
      </c>
      <c r="AF57" s="24">
        <f t="shared" si="96"/>
        <v>446115314</v>
      </c>
      <c r="AG57" s="24">
        <f t="shared" si="97"/>
        <v>1956163647</v>
      </c>
      <c r="AH57" s="24">
        <f t="shared" si="98"/>
        <v>3423413650</v>
      </c>
      <c r="AI57" s="24">
        <f t="shared" si="99"/>
        <v>1238524608</v>
      </c>
      <c r="AJ57" s="24">
        <f t="shared" si="100"/>
        <v>4281349270</v>
      </c>
      <c r="AK57" s="24">
        <f t="shared" si="101"/>
        <v>2991493910</v>
      </c>
      <c r="AL57" s="24">
        <f t="shared" si="102"/>
        <v>133792164</v>
      </c>
      <c r="AM57" s="24">
        <f t="shared" si="103"/>
        <v>1083187200</v>
      </c>
      <c r="AN57" s="24">
        <f t="shared" si="104"/>
        <v>3422561426</v>
      </c>
      <c r="AO57" s="24">
        <f t="shared" si="105"/>
        <v>1028313855</v>
      </c>
      <c r="AP57" s="24">
        <f t="shared" si="106"/>
        <v>859640068</v>
      </c>
      <c r="AQ57" s="24">
        <f t="shared" si="107"/>
        <v>810193430</v>
      </c>
      <c r="AR57" s="24">
        <f t="shared" si="108"/>
        <v>54067460</v>
      </c>
      <c r="AS57" s="24">
        <f t="shared" si="109"/>
        <v>2399420905</v>
      </c>
      <c r="AT57" s="24">
        <f t="shared" si="110"/>
        <v>885297312</v>
      </c>
      <c r="AU57" s="24">
        <f t="shared" si="111"/>
        <v>2399706195</v>
      </c>
      <c r="AV57" s="24">
        <f t="shared" si="112"/>
        <v>134299704</v>
      </c>
      <c r="AW57" s="24">
        <f t="shared" si="113"/>
        <v>6291500</v>
      </c>
      <c r="AX57" s="24">
        <f t="shared" si="114"/>
        <v>327166339</v>
      </c>
      <c r="BA57" s="24">
        <f t="shared" si="115"/>
        <v>2405997695</v>
      </c>
      <c r="BB57" s="24">
        <f t="shared" si="116"/>
        <v>461466043</v>
      </c>
      <c r="BC57" s="24">
        <f t="shared" si="117"/>
        <v>3162542161</v>
      </c>
      <c r="BD57" s="24">
        <f t="shared" si="118"/>
        <v>591987459</v>
      </c>
      <c r="BE57" s="24">
        <f t="shared" si="119"/>
        <v>3368075785</v>
      </c>
      <c r="BF57" s="24">
        <f t="shared" si="120"/>
        <v>637566976</v>
      </c>
      <c r="BG57" s="24">
        <f t="shared" si="121"/>
        <v>2290131969</v>
      </c>
      <c r="BH57" s="24">
        <f t="shared" si="122"/>
        <v>570564720</v>
      </c>
      <c r="BI57" s="24">
        <f t="shared" si="123"/>
        <v>2290122753</v>
      </c>
      <c r="BJ57" s="24">
        <f t="shared" si="124"/>
        <v>570425344</v>
      </c>
      <c r="BK57" s="24">
        <f t="shared" si="125"/>
        <v>4240504409</v>
      </c>
      <c r="BL57" s="24">
        <f t="shared" si="126"/>
        <v>659268467</v>
      </c>
      <c r="BM57" s="24">
        <f>MOD(R56+AF57+BB57+'📦 Константы SHA-512'!D55+BI251,4294967296)</f>
        <v>2954073418</v>
      </c>
      <c r="BN57" s="24">
        <f>INT((R56+AF57+BB57+'📦 Константы SHA-512'!D55+BI251)/4294967296)</f>
        <v>1</v>
      </c>
      <c r="BO57" s="24">
        <f>MOD(Q56+AE57+BA57+'📦 Константы SHA-512'!C55+BH251+BN57,4294967296)</f>
        <v>93255697</v>
      </c>
      <c r="BP57" s="24" t="s">
        <v>349</v>
      </c>
      <c r="BQ57" s="24">
        <f t="shared" si="127"/>
        <v>1544565779</v>
      </c>
      <c r="BR57" s="24">
        <f t="shared" si="128"/>
        <v>0</v>
      </c>
      <c r="BS57" s="24">
        <f t="shared" si="129"/>
        <v>2344958018</v>
      </c>
      <c r="BU57" s="24">
        <f t="shared" si="130"/>
        <v>1404313690</v>
      </c>
      <c r="BV57" s="24">
        <f t="shared" si="131"/>
        <v>3970399242</v>
      </c>
      <c r="BW57" s="24">
        <f t="shared" si="132"/>
        <v>2438213716</v>
      </c>
      <c r="BX57" s="24">
        <f t="shared" si="133"/>
        <v>203671901</v>
      </c>
    </row>
    <row r="58" spans="2:76" ht="12.75" customHeight="1" x14ac:dyDescent="0.25">
      <c r="B58" s="46">
        <v>53</v>
      </c>
      <c r="C58" s="32">
        <f t="shared" si="67"/>
        <v>475501881</v>
      </c>
      <c r="D58" s="32">
        <f t="shared" si="68"/>
        <v>862494406</v>
      </c>
      <c r="E58" s="32">
        <f t="shared" si="69"/>
        <v>2438213716</v>
      </c>
      <c r="F58" s="32">
        <f t="shared" si="70"/>
        <v>203671901</v>
      </c>
      <c r="G58" s="32">
        <f t="shared" si="71"/>
        <v>4240495193</v>
      </c>
      <c r="H58" s="32">
        <f t="shared" si="72"/>
        <v>659131139</v>
      </c>
      <c r="I58" s="32">
        <f t="shared" si="73"/>
        <v>3162944851</v>
      </c>
      <c r="J58" s="32">
        <f t="shared" si="74"/>
        <v>734734195</v>
      </c>
      <c r="K58" s="32">
        <f t="shared" si="75"/>
        <v>3243815637</v>
      </c>
      <c r="L58" s="32">
        <f t="shared" si="76"/>
        <v>805249838</v>
      </c>
      <c r="M58" s="32">
        <f t="shared" si="77"/>
        <v>1404313690</v>
      </c>
      <c r="N58" s="32">
        <f t="shared" si="78"/>
        <v>3970399242</v>
      </c>
      <c r="O58" s="32">
        <f t="shared" si="79"/>
        <v>2678062675</v>
      </c>
      <c r="P58" s="32">
        <f t="shared" si="80"/>
        <v>134431288</v>
      </c>
      <c r="Q58" s="32">
        <f t="shared" si="81"/>
        <v>4010319063</v>
      </c>
      <c r="R58" s="32">
        <f t="shared" si="82"/>
        <v>3218695288</v>
      </c>
      <c r="S58" s="24">
        <f t="shared" si="83"/>
        <v>4029238992</v>
      </c>
      <c r="T58" s="24">
        <f t="shared" si="84"/>
        <v>2171318941</v>
      </c>
      <c r="U58" s="24">
        <f t="shared" si="85"/>
        <v>3741488365</v>
      </c>
      <c r="V58" s="24">
        <f t="shared" si="86"/>
        <v>135707433</v>
      </c>
      <c r="W58" s="24">
        <f t="shared" si="87"/>
        <v>762729406</v>
      </c>
      <c r="X58" s="24">
        <f t="shared" si="88"/>
        <v>86628880</v>
      </c>
      <c r="Y58" s="24">
        <f t="shared" si="89"/>
        <v>3489662144</v>
      </c>
      <c r="Z58" s="24">
        <f t="shared" si="90"/>
        <v>176649</v>
      </c>
      <c r="AA58" s="24">
        <f t="shared" si="91"/>
        <v>791403069</v>
      </c>
      <c r="AB58" s="24">
        <f t="shared" si="92"/>
        <v>2306673076</v>
      </c>
      <c r="AC58" s="24">
        <f t="shared" si="93"/>
        <v>757223996</v>
      </c>
      <c r="AD58" s="24">
        <f t="shared" si="94"/>
        <v>19466256</v>
      </c>
      <c r="AE58" s="24">
        <f t="shared" si="95"/>
        <v>39684483</v>
      </c>
      <c r="AF58" s="24">
        <f t="shared" si="96"/>
        <v>2354369444</v>
      </c>
      <c r="AG58" s="24">
        <f t="shared" si="97"/>
        <v>3258750425</v>
      </c>
      <c r="AH58" s="24">
        <f t="shared" si="98"/>
        <v>356713792</v>
      </c>
      <c r="AI58" s="24">
        <f t="shared" si="99"/>
        <v>50917975</v>
      </c>
      <c r="AJ58" s="24">
        <f t="shared" si="100"/>
        <v>1683295253</v>
      </c>
      <c r="AK58" s="24">
        <f t="shared" si="101"/>
        <v>2820163474</v>
      </c>
      <c r="AL58" s="24">
        <f t="shared" si="102"/>
        <v>3139610720</v>
      </c>
      <c r="AM58" s="24">
        <f t="shared" si="103"/>
        <v>34115665</v>
      </c>
      <c r="AN58" s="24">
        <f t="shared" si="104"/>
        <v>71369728</v>
      </c>
      <c r="AO58" s="24">
        <f t="shared" si="105"/>
        <v>3241437070</v>
      </c>
      <c r="AP58" s="24">
        <f t="shared" si="106"/>
        <v>1897269589</v>
      </c>
      <c r="AQ58" s="24">
        <f t="shared" si="107"/>
        <v>2148550530</v>
      </c>
      <c r="AR58" s="24">
        <f t="shared" si="108"/>
        <v>822216768</v>
      </c>
      <c r="AS58" s="24">
        <f t="shared" si="109"/>
        <v>1764499484</v>
      </c>
      <c r="AT58" s="24">
        <f t="shared" si="110"/>
        <v>3392446773</v>
      </c>
      <c r="AU58" s="24">
        <f t="shared" si="111"/>
        <v>328474706</v>
      </c>
      <c r="AV58" s="24">
        <f t="shared" si="112"/>
        <v>134430728</v>
      </c>
      <c r="AW58" s="24">
        <f t="shared" si="113"/>
        <v>2886245509</v>
      </c>
      <c r="AX58" s="24">
        <f t="shared" si="114"/>
        <v>324534384</v>
      </c>
      <c r="BA58" s="24">
        <f t="shared" si="115"/>
        <v>3214720215</v>
      </c>
      <c r="BB58" s="24">
        <f t="shared" si="116"/>
        <v>458965112</v>
      </c>
      <c r="BC58" s="24">
        <f t="shared" si="117"/>
        <v>2420117584</v>
      </c>
      <c r="BD58" s="24">
        <f t="shared" si="118"/>
        <v>67209473</v>
      </c>
      <c r="BE58" s="24">
        <f t="shared" si="119"/>
        <v>2416193616</v>
      </c>
      <c r="BF58" s="24">
        <f t="shared" si="120"/>
        <v>134414673</v>
      </c>
      <c r="BG58" s="24">
        <f t="shared" si="121"/>
        <v>3162542161</v>
      </c>
      <c r="BH58" s="24">
        <f t="shared" si="122"/>
        <v>591987459</v>
      </c>
      <c r="BI58" s="24">
        <f t="shared" si="123"/>
        <v>2415923280</v>
      </c>
      <c r="BJ58" s="24">
        <f t="shared" si="124"/>
        <v>65793</v>
      </c>
      <c r="BK58" s="24">
        <f t="shared" si="125"/>
        <v>3167006801</v>
      </c>
      <c r="BL58" s="24">
        <f t="shared" si="126"/>
        <v>793480019</v>
      </c>
      <c r="BM58" s="24">
        <f>MOD(R57+AF58+BB58+'📦 Константы SHA-512'!D56+BI252,4294967296)</f>
        <v>971534910</v>
      </c>
      <c r="BN58" s="24">
        <f>INT((R57+AF58+BB58+'📦 Константы SHA-512'!D56+BI252)/4294967296)</f>
        <v>2</v>
      </c>
      <c r="BO58" s="24">
        <f>MOD(Q57+AE58+BA58+'📦 Константы SHA-512'!C56+BH252+BN58,4294967296)</f>
        <v>4133930187</v>
      </c>
      <c r="BP58" s="24" t="s">
        <v>350</v>
      </c>
      <c r="BQ58" s="24">
        <f t="shared" si="127"/>
        <v>4185926792</v>
      </c>
      <c r="BR58" s="24">
        <f t="shared" si="128"/>
        <v>0</v>
      </c>
      <c r="BS58" s="24">
        <f t="shared" si="129"/>
        <v>636538989</v>
      </c>
      <c r="BU58" s="24">
        <f t="shared" si="130"/>
        <v>3243815637</v>
      </c>
      <c r="BV58" s="24">
        <f t="shared" si="131"/>
        <v>805249838</v>
      </c>
      <c r="BW58" s="24">
        <f t="shared" si="132"/>
        <v>475501881</v>
      </c>
      <c r="BX58" s="24">
        <f t="shared" si="133"/>
        <v>862494406</v>
      </c>
    </row>
    <row r="59" spans="2:76" ht="12.75" customHeight="1" x14ac:dyDescent="0.25">
      <c r="B59" s="48">
        <v>54</v>
      </c>
      <c r="C59" s="34">
        <f t="shared" si="67"/>
        <v>785002929</v>
      </c>
      <c r="D59" s="34">
        <f t="shared" si="68"/>
        <v>333771003</v>
      </c>
      <c r="E59" s="34">
        <f t="shared" si="69"/>
        <v>475501881</v>
      </c>
      <c r="F59" s="34">
        <f t="shared" si="70"/>
        <v>862494406</v>
      </c>
      <c r="G59" s="34">
        <f t="shared" si="71"/>
        <v>2438213716</v>
      </c>
      <c r="H59" s="34">
        <f t="shared" si="72"/>
        <v>203671901</v>
      </c>
      <c r="I59" s="34">
        <f t="shared" si="73"/>
        <v>4240495193</v>
      </c>
      <c r="J59" s="34">
        <f t="shared" si="74"/>
        <v>659131139</v>
      </c>
      <c r="K59" s="34">
        <f t="shared" si="75"/>
        <v>1187462077</v>
      </c>
      <c r="L59" s="34">
        <f t="shared" si="76"/>
        <v>1240625968</v>
      </c>
      <c r="M59" s="34">
        <f t="shared" si="77"/>
        <v>3243815637</v>
      </c>
      <c r="N59" s="34">
        <f t="shared" si="78"/>
        <v>805249838</v>
      </c>
      <c r="O59" s="34">
        <f t="shared" si="79"/>
        <v>1404313690</v>
      </c>
      <c r="P59" s="34">
        <f t="shared" si="80"/>
        <v>3970399242</v>
      </c>
      <c r="Q59" s="34">
        <f t="shared" si="81"/>
        <v>2678062675</v>
      </c>
      <c r="R59" s="34">
        <f t="shared" si="82"/>
        <v>134431288</v>
      </c>
      <c r="S59" s="24">
        <f t="shared" si="83"/>
        <v>2361066850</v>
      </c>
      <c r="T59" s="24">
        <f t="shared" si="84"/>
        <v>3411329020</v>
      </c>
      <c r="U59" s="24">
        <f t="shared" si="85"/>
        <v>3368792150</v>
      </c>
      <c r="V59" s="24">
        <f t="shared" si="86"/>
        <v>750078975</v>
      </c>
      <c r="W59" s="24">
        <f t="shared" si="87"/>
        <v>1788346257</v>
      </c>
      <c r="X59" s="24">
        <f t="shared" si="88"/>
        <v>2539695193</v>
      </c>
      <c r="Y59" s="24">
        <f t="shared" si="89"/>
        <v>2290810946</v>
      </c>
      <c r="Z59" s="24">
        <f t="shared" si="90"/>
        <v>135531516</v>
      </c>
      <c r="AA59" s="24">
        <f t="shared" si="91"/>
        <v>1148237108</v>
      </c>
      <c r="AB59" s="24">
        <f t="shared" si="92"/>
        <v>3890344963</v>
      </c>
      <c r="AC59" s="24">
        <f t="shared" si="93"/>
        <v>1074836752</v>
      </c>
      <c r="AD59" s="24">
        <f t="shared" si="94"/>
        <v>2271257601</v>
      </c>
      <c r="AE59" s="24">
        <f t="shared" si="95"/>
        <v>786909861</v>
      </c>
      <c r="AF59" s="24">
        <f t="shared" si="96"/>
        <v>1887524954</v>
      </c>
      <c r="AG59" s="24">
        <f t="shared" si="97"/>
        <v>915008609</v>
      </c>
      <c r="AH59" s="24">
        <f t="shared" si="98"/>
        <v>3313062803</v>
      </c>
      <c r="AI59" s="24">
        <f t="shared" si="99"/>
        <v>1289365425</v>
      </c>
      <c r="AJ59" s="24">
        <f t="shared" si="100"/>
        <v>2266359118</v>
      </c>
      <c r="AK59" s="24">
        <f t="shared" si="101"/>
        <v>1919340861</v>
      </c>
      <c r="AL59" s="24">
        <f t="shared" si="102"/>
        <v>2352525098</v>
      </c>
      <c r="AM59" s="24">
        <f t="shared" si="103"/>
        <v>76031009</v>
      </c>
      <c r="AN59" s="24">
        <f t="shared" si="104"/>
        <v>2232500482</v>
      </c>
      <c r="AO59" s="24">
        <f t="shared" si="105"/>
        <v>2052312016</v>
      </c>
      <c r="AP59" s="24">
        <f t="shared" si="106"/>
        <v>1114420957</v>
      </c>
      <c r="AQ59" s="24">
        <f t="shared" si="107"/>
        <v>1916977424</v>
      </c>
      <c r="AR59" s="24">
        <f t="shared" si="108"/>
        <v>2663944</v>
      </c>
      <c r="AS59" s="24">
        <f t="shared" si="109"/>
        <v>137698029</v>
      </c>
      <c r="AT59" s="24">
        <f t="shared" si="110"/>
        <v>3461618167</v>
      </c>
      <c r="AU59" s="24">
        <f t="shared" si="111"/>
        <v>1091575888</v>
      </c>
      <c r="AV59" s="24">
        <f t="shared" si="112"/>
        <v>749150218</v>
      </c>
      <c r="AW59" s="24">
        <f t="shared" si="113"/>
        <v>512183298</v>
      </c>
      <c r="AX59" s="24">
        <f t="shared" si="114"/>
        <v>16400</v>
      </c>
      <c r="BA59" s="24">
        <f t="shared" si="115"/>
        <v>1603759186</v>
      </c>
      <c r="BB59" s="24">
        <f t="shared" si="116"/>
        <v>749166618</v>
      </c>
      <c r="BC59" s="24">
        <f t="shared" si="117"/>
        <v>273944592</v>
      </c>
      <c r="BD59" s="24">
        <f t="shared" si="118"/>
        <v>2132036</v>
      </c>
      <c r="BE59" s="24">
        <f t="shared" si="119"/>
        <v>473993241</v>
      </c>
      <c r="BF59" s="24">
        <f t="shared" si="120"/>
        <v>591956482</v>
      </c>
      <c r="BG59" s="24">
        <f t="shared" si="121"/>
        <v>2420117584</v>
      </c>
      <c r="BH59" s="24">
        <f t="shared" si="122"/>
        <v>67209473</v>
      </c>
      <c r="BI59" s="24">
        <f t="shared" si="123"/>
        <v>272633872</v>
      </c>
      <c r="BJ59" s="24">
        <f t="shared" si="124"/>
        <v>34816</v>
      </c>
      <c r="BK59" s="24">
        <f t="shared" si="125"/>
        <v>2622787673</v>
      </c>
      <c r="BL59" s="24">
        <f t="shared" si="126"/>
        <v>661228359</v>
      </c>
      <c r="BM59" s="24">
        <f>MOD(R58+AF59+BB59+'📦 Константы SHA-512'!D57+BI253,4294967296)</f>
        <v>505891773</v>
      </c>
      <c r="BN59" s="24">
        <f>INT((R58+AF59+BB59+'📦 Константы SHA-512'!D57+BI253)/4294967296)</f>
        <v>3</v>
      </c>
      <c r="BO59" s="24">
        <f>MOD(Q58+AE59+BA59+'📦 Константы SHA-512'!C57+BH253+BN59,4294967296)</f>
        <v>2319484522</v>
      </c>
      <c r="BP59" s="24" t="s">
        <v>351</v>
      </c>
      <c r="BQ59" s="24">
        <f t="shared" si="127"/>
        <v>4122846526</v>
      </c>
      <c r="BR59" s="24">
        <f t="shared" si="128"/>
        <v>0</v>
      </c>
      <c r="BS59" s="24">
        <f t="shared" si="129"/>
        <v>2760485702</v>
      </c>
      <c r="BU59" s="24">
        <f t="shared" si="130"/>
        <v>1187462077</v>
      </c>
      <c r="BV59" s="24">
        <f t="shared" si="131"/>
        <v>1240625968</v>
      </c>
      <c r="BW59" s="24">
        <f t="shared" si="132"/>
        <v>785002929</v>
      </c>
      <c r="BX59" s="24">
        <f t="shared" si="133"/>
        <v>333771003</v>
      </c>
    </row>
    <row r="60" spans="2:76" ht="12.75" customHeight="1" x14ac:dyDescent="0.25">
      <c r="B60" s="50">
        <v>55</v>
      </c>
      <c r="C60" s="36">
        <f t="shared" si="67"/>
        <v>3002201794</v>
      </c>
      <c r="D60" s="36">
        <f t="shared" si="68"/>
        <v>2472221033</v>
      </c>
      <c r="E60" s="36">
        <f t="shared" si="69"/>
        <v>785002929</v>
      </c>
      <c r="F60" s="36">
        <f t="shared" si="70"/>
        <v>333771003</v>
      </c>
      <c r="G60" s="36">
        <f t="shared" si="71"/>
        <v>475501881</v>
      </c>
      <c r="H60" s="36">
        <f t="shared" si="72"/>
        <v>862494406</v>
      </c>
      <c r="I60" s="36">
        <f t="shared" si="73"/>
        <v>2438213716</v>
      </c>
      <c r="J60" s="36">
        <f t="shared" si="74"/>
        <v>203671901</v>
      </c>
      <c r="K60" s="36">
        <f t="shared" si="75"/>
        <v>2060098940</v>
      </c>
      <c r="L60" s="36">
        <f t="shared" si="76"/>
        <v>3589785711</v>
      </c>
      <c r="M60" s="36">
        <f t="shared" si="77"/>
        <v>1187462077</v>
      </c>
      <c r="N60" s="36">
        <f t="shared" si="78"/>
        <v>1240625968</v>
      </c>
      <c r="O60" s="36">
        <f t="shared" si="79"/>
        <v>3243815637</v>
      </c>
      <c r="P60" s="36">
        <f t="shared" si="80"/>
        <v>805249838</v>
      </c>
      <c r="Q60" s="36">
        <f t="shared" si="81"/>
        <v>1404313690</v>
      </c>
      <c r="R60" s="36">
        <f t="shared" si="82"/>
        <v>3970399242</v>
      </c>
      <c r="S60" s="24">
        <f t="shared" si="83"/>
        <v>3435207452</v>
      </c>
      <c r="T60" s="24">
        <f t="shared" si="84"/>
        <v>4009043913</v>
      </c>
      <c r="U60" s="24">
        <f t="shared" si="85"/>
        <v>2630619569</v>
      </c>
      <c r="V60" s="24">
        <f t="shared" si="86"/>
        <v>3471790716</v>
      </c>
      <c r="W60" s="24">
        <f t="shared" si="87"/>
        <v>3735353657</v>
      </c>
      <c r="X60" s="24">
        <f t="shared" si="88"/>
        <v>2552456093</v>
      </c>
      <c r="Y60" s="24">
        <f t="shared" si="89"/>
        <v>2361397520</v>
      </c>
      <c r="Z60" s="24">
        <f t="shared" si="90"/>
        <v>3471114824</v>
      </c>
      <c r="AA60" s="24">
        <f t="shared" si="91"/>
        <v>1343031981</v>
      </c>
      <c r="AB60" s="24">
        <f t="shared" si="92"/>
        <v>538604981</v>
      </c>
      <c r="AC60" s="24">
        <f t="shared" si="93"/>
        <v>1342441513</v>
      </c>
      <c r="AD60" s="24">
        <f t="shared" si="94"/>
        <v>156053</v>
      </c>
      <c r="AE60" s="24">
        <f t="shared" si="95"/>
        <v>2393502612</v>
      </c>
      <c r="AF60" s="24">
        <f t="shared" si="96"/>
        <v>3090748968</v>
      </c>
      <c r="AG60" s="24">
        <f t="shared" si="97"/>
        <v>1045368754</v>
      </c>
      <c r="AH60" s="24">
        <f t="shared" si="98"/>
        <v>3970112273</v>
      </c>
      <c r="AI60" s="24">
        <f t="shared" si="99"/>
        <v>1157184574</v>
      </c>
      <c r="AJ60" s="24">
        <f t="shared" si="100"/>
        <v>3417476204</v>
      </c>
      <c r="AK60" s="24">
        <f t="shared" si="101"/>
        <v>1646774753</v>
      </c>
      <c r="AL60" s="24">
        <f t="shared" si="102"/>
        <v>4133327971</v>
      </c>
      <c r="AM60" s="24">
        <f t="shared" si="103"/>
        <v>71896114</v>
      </c>
      <c r="AN60" s="24">
        <f t="shared" si="104"/>
        <v>3366062080</v>
      </c>
      <c r="AO60" s="24">
        <f t="shared" si="105"/>
        <v>2058761100</v>
      </c>
      <c r="AP60" s="24">
        <f t="shared" si="106"/>
        <v>655464317</v>
      </c>
      <c r="AQ60" s="24">
        <f t="shared" si="107"/>
        <v>1646657920</v>
      </c>
      <c r="AR60" s="24">
        <f t="shared" si="108"/>
        <v>638686305</v>
      </c>
      <c r="AS60" s="24">
        <f t="shared" si="109"/>
        <v>412220013</v>
      </c>
      <c r="AT60" s="24">
        <f t="shared" si="110"/>
        <v>3511419678</v>
      </c>
      <c r="AU60" s="24">
        <f t="shared" si="111"/>
        <v>1077949077</v>
      </c>
      <c r="AV60" s="24">
        <f t="shared" si="112"/>
        <v>166863648</v>
      </c>
      <c r="AW60" s="24">
        <f t="shared" si="113"/>
        <v>288358466</v>
      </c>
      <c r="AX60" s="24">
        <f t="shared" si="114"/>
        <v>2751794186</v>
      </c>
      <c r="BA60" s="24">
        <f t="shared" si="115"/>
        <v>1366307543</v>
      </c>
      <c r="BB60" s="24">
        <f t="shared" si="116"/>
        <v>2918657834</v>
      </c>
      <c r="BC60" s="24">
        <f t="shared" si="117"/>
        <v>205656369</v>
      </c>
      <c r="BD60" s="24">
        <f t="shared" si="118"/>
        <v>325095618</v>
      </c>
      <c r="BE60" s="24">
        <f t="shared" si="119"/>
        <v>4206608</v>
      </c>
      <c r="BF60" s="24">
        <f t="shared" si="120"/>
        <v>2146393</v>
      </c>
      <c r="BG60" s="24">
        <f t="shared" si="121"/>
        <v>273944592</v>
      </c>
      <c r="BH60" s="24">
        <f t="shared" si="122"/>
        <v>2132036</v>
      </c>
      <c r="BI60" s="24">
        <f t="shared" si="123"/>
        <v>4198416</v>
      </c>
      <c r="BJ60" s="24">
        <f t="shared" si="124"/>
        <v>2129984</v>
      </c>
      <c r="BK60" s="24">
        <f t="shared" si="125"/>
        <v>475410737</v>
      </c>
      <c r="BL60" s="24">
        <f t="shared" si="126"/>
        <v>325114079</v>
      </c>
      <c r="BM60" s="24">
        <f>MOD(R59+AF60+BB60+'📦 Константы SHA-512'!D58+BI254,4294967296)</f>
        <v>2930654572</v>
      </c>
      <c r="BN60" s="24">
        <f>INT((R59+AF60+BB60+'📦 Константы SHA-512'!D58+BI254)/4294967296)</f>
        <v>2</v>
      </c>
      <c r="BO60" s="24">
        <f>MOD(Q59+AE60+BA60+'📦 Константы SHA-512'!C58+BH254+BN60,4294967296)</f>
        <v>2114571043</v>
      </c>
      <c r="BP60" s="24" t="s">
        <v>352</v>
      </c>
      <c r="BQ60" s="24">
        <f t="shared" si="127"/>
        <v>3836533757</v>
      </c>
      <c r="BR60" s="24">
        <f t="shared" si="128"/>
        <v>0</v>
      </c>
      <c r="BS60" s="24">
        <f t="shared" si="129"/>
        <v>887630750</v>
      </c>
      <c r="BU60" s="24">
        <f t="shared" si="130"/>
        <v>2060098940</v>
      </c>
      <c r="BV60" s="24">
        <f t="shared" si="131"/>
        <v>3589785711</v>
      </c>
      <c r="BW60" s="24">
        <f t="shared" si="132"/>
        <v>3002201794</v>
      </c>
      <c r="BX60" s="24">
        <f t="shared" si="133"/>
        <v>2472221033</v>
      </c>
    </row>
    <row r="61" spans="2:76" ht="12.75" customHeight="1" x14ac:dyDescent="0.25">
      <c r="B61" s="52">
        <v>56</v>
      </c>
      <c r="C61" s="38">
        <f t="shared" si="67"/>
        <v>2035385004</v>
      </c>
      <c r="D61" s="38">
        <f t="shared" si="68"/>
        <v>96102459</v>
      </c>
      <c r="E61" s="38">
        <f t="shared" si="69"/>
        <v>3002201794</v>
      </c>
      <c r="F61" s="38">
        <f t="shared" si="70"/>
        <v>2472221033</v>
      </c>
      <c r="G61" s="38">
        <f t="shared" si="71"/>
        <v>785002929</v>
      </c>
      <c r="H61" s="38">
        <f t="shared" si="72"/>
        <v>333771003</v>
      </c>
      <c r="I61" s="38">
        <f t="shared" si="73"/>
        <v>475501881</v>
      </c>
      <c r="J61" s="38">
        <f t="shared" si="74"/>
        <v>862494406</v>
      </c>
      <c r="K61" s="38">
        <f t="shared" si="75"/>
        <v>3079673435</v>
      </c>
      <c r="L61" s="38">
        <f t="shared" si="76"/>
        <v>1840162361</v>
      </c>
      <c r="M61" s="38">
        <f t="shared" si="77"/>
        <v>2060098940</v>
      </c>
      <c r="N61" s="38">
        <f t="shared" si="78"/>
        <v>3589785711</v>
      </c>
      <c r="O61" s="38">
        <f t="shared" si="79"/>
        <v>1187462077</v>
      </c>
      <c r="P61" s="38">
        <f t="shared" si="80"/>
        <v>1240625968</v>
      </c>
      <c r="Q61" s="38">
        <f t="shared" si="81"/>
        <v>3243815637</v>
      </c>
      <c r="R61" s="38">
        <f t="shared" si="82"/>
        <v>805249838</v>
      </c>
      <c r="S61" s="24">
        <f t="shared" si="83"/>
        <v>566094634</v>
      </c>
      <c r="T61" s="24">
        <f t="shared" si="84"/>
        <v>1978882015</v>
      </c>
      <c r="U61" s="24">
        <f t="shared" si="85"/>
        <v>4061912754</v>
      </c>
      <c r="V61" s="24">
        <f t="shared" si="86"/>
        <v>2808034685</v>
      </c>
      <c r="W61" s="24">
        <f t="shared" si="87"/>
        <v>3194682340</v>
      </c>
      <c r="X61" s="24">
        <f t="shared" si="88"/>
        <v>935159118</v>
      </c>
      <c r="Y61" s="24">
        <f t="shared" si="89"/>
        <v>538561058</v>
      </c>
      <c r="Z61" s="24">
        <f t="shared" si="90"/>
        <v>626201949</v>
      </c>
      <c r="AA61" s="24">
        <f t="shared" si="91"/>
        <v>3550885272</v>
      </c>
      <c r="AB61" s="24">
        <f t="shared" si="92"/>
        <v>3534512802</v>
      </c>
      <c r="AC61" s="24">
        <f t="shared" si="93"/>
        <v>2451714432</v>
      </c>
      <c r="AD61" s="24">
        <f t="shared" si="94"/>
        <v>313286658</v>
      </c>
      <c r="AE61" s="24">
        <f t="shared" si="95"/>
        <v>1842138748</v>
      </c>
      <c r="AF61" s="24">
        <f t="shared" si="96"/>
        <v>3843098604</v>
      </c>
      <c r="AG61" s="24">
        <f t="shared" si="97"/>
        <v>900830875</v>
      </c>
      <c r="AH61" s="24">
        <f t="shared" si="98"/>
        <v>790588457</v>
      </c>
      <c r="AI61" s="24">
        <f t="shared" si="99"/>
        <v>2765538906</v>
      </c>
      <c r="AJ61" s="24">
        <f t="shared" si="100"/>
        <v>1824292272</v>
      </c>
      <c r="AK61" s="24">
        <f t="shared" si="101"/>
        <v>2233906738</v>
      </c>
      <c r="AL61" s="24">
        <f t="shared" si="102"/>
        <v>3546670061</v>
      </c>
      <c r="AM61" s="24">
        <f t="shared" si="103"/>
        <v>613451290</v>
      </c>
      <c r="AN61" s="24">
        <f t="shared" si="104"/>
        <v>740060192</v>
      </c>
      <c r="AO61" s="24">
        <f t="shared" si="105"/>
        <v>2439467201</v>
      </c>
      <c r="AP61" s="24">
        <f t="shared" si="106"/>
        <v>1134760345</v>
      </c>
      <c r="AQ61" s="24">
        <f t="shared" si="107"/>
        <v>2166755328</v>
      </c>
      <c r="AR61" s="24">
        <f t="shared" si="108"/>
        <v>1126236553</v>
      </c>
      <c r="AS61" s="24">
        <f t="shared" si="109"/>
        <v>339863283</v>
      </c>
      <c r="AT61" s="24">
        <f t="shared" si="110"/>
        <v>2428957300</v>
      </c>
      <c r="AU61" s="24">
        <f t="shared" si="111"/>
        <v>1120016700</v>
      </c>
      <c r="AV61" s="24">
        <f t="shared" si="112"/>
        <v>1106395168</v>
      </c>
      <c r="AW61" s="24">
        <f t="shared" si="113"/>
        <v>2165318273</v>
      </c>
      <c r="AX61" s="24">
        <f t="shared" si="114"/>
        <v>705176320</v>
      </c>
      <c r="BA61" s="24">
        <f t="shared" si="115"/>
        <v>3285334973</v>
      </c>
      <c r="BB61" s="24">
        <f t="shared" si="116"/>
        <v>1811571488</v>
      </c>
      <c r="BC61" s="24">
        <f t="shared" si="117"/>
        <v>583020672</v>
      </c>
      <c r="BD61" s="24">
        <f t="shared" si="118"/>
        <v>322965609</v>
      </c>
      <c r="BE61" s="24">
        <f t="shared" si="119"/>
        <v>273781760</v>
      </c>
      <c r="BF61" s="24">
        <f t="shared" si="120"/>
        <v>323491904</v>
      </c>
      <c r="BG61" s="24">
        <f t="shared" si="121"/>
        <v>205656369</v>
      </c>
      <c r="BH61" s="24">
        <f t="shared" si="122"/>
        <v>325095618</v>
      </c>
      <c r="BI61" s="24">
        <f t="shared" si="123"/>
        <v>4198400</v>
      </c>
      <c r="BJ61" s="24">
        <f t="shared" si="124"/>
        <v>322965568</v>
      </c>
      <c r="BK61" s="24">
        <f t="shared" si="125"/>
        <v>1054062001</v>
      </c>
      <c r="BL61" s="24">
        <f t="shared" si="126"/>
        <v>325621995</v>
      </c>
      <c r="BM61" s="24">
        <f>MOD(R60+AF61+BB61+'📦 Константы SHA-512'!D59+BI255,4294967296)</f>
        <v>1636490460</v>
      </c>
      <c r="BN61" s="24">
        <f>INT((R60+AF61+BB61+'📦 Константы SHA-512'!D59+BI255)/4294967296)</f>
        <v>3</v>
      </c>
      <c r="BO61" s="24">
        <f>MOD(Q60+AE61+BA61+'📦 Константы SHA-512'!C59+BH255+BN61,4294967296)</f>
        <v>641459719</v>
      </c>
      <c r="BP61" s="24" t="s">
        <v>353</v>
      </c>
      <c r="BQ61" s="24">
        <f t="shared" si="127"/>
        <v>2754579295</v>
      </c>
      <c r="BR61" s="24">
        <f t="shared" si="128"/>
        <v>0</v>
      </c>
      <c r="BS61" s="24">
        <f t="shared" si="129"/>
        <v>1393925284</v>
      </c>
      <c r="BU61" s="24">
        <f t="shared" si="130"/>
        <v>3079673435</v>
      </c>
      <c r="BV61" s="24">
        <f t="shared" si="131"/>
        <v>1840162361</v>
      </c>
      <c r="BW61" s="24">
        <f t="shared" si="132"/>
        <v>2035385004</v>
      </c>
      <c r="BX61" s="24">
        <f t="shared" si="133"/>
        <v>96102459</v>
      </c>
    </row>
    <row r="62" spans="2:76" ht="12.75" customHeight="1" x14ac:dyDescent="0.25">
      <c r="B62" s="25">
        <v>57</v>
      </c>
      <c r="C62" s="40">
        <f t="shared" si="67"/>
        <v>3986912304</v>
      </c>
      <c r="D62" s="40">
        <f t="shared" si="68"/>
        <v>2747410385</v>
      </c>
      <c r="E62" s="40">
        <f t="shared" si="69"/>
        <v>2035385004</v>
      </c>
      <c r="F62" s="40">
        <f t="shared" si="70"/>
        <v>96102459</v>
      </c>
      <c r="G62" s="40">
        <f t="shared" si="71"/>
        <v>3002201794</v>
      </c>
      <c r="H62" s="40">
        <f t="shared" si="72"/>
        <v>2472221033</v>
      </c>
      <c r="I62" s="40">
        <f t="shared" si="73"/>
        <v>785002929</v>
      </c>
      <c r="J62" s="40">
        <f t="shared" si="74"/>
        <v>333771003</v>
      </c>
      <c r="K62" s="40">
        <f t="shared" si="75"/>
        <v>3429230944</v>
      </c>
      <c r="L62" s="40">
        <f t="shared" si="76"/>
        <v>2238801070</v>
      </c>
      <c r="M62" s="40">
        <f t="shared" si="77"/>
        <v>3079673435</v>
      </c>
      <c r="N62" s="40">
        <f t="shared" si="78"/>
        <v>1840162361</v>
      </c>
      <c r="O62" s="40">
        <f t="shared" si="79"/>
        <v>2060098940</v>
      </c>
      <c r="P62" s="40">
        <f t="shared" si="80"/>
        <v>3589785711</v>
      </c>
      <c r="Q62" s="40">
        <f t="shared" si="81"/>
        <v>1187462077</v>
      </c>
      <c r="R62" s="40">
        <f t="shared" si="82"/>
        <v>1240625968</v>
      </c>
      <c r="S62" s="24">
        <f t="shared" si="83"/>
        <v>2565267008</v>
      </c>
      <c r="T62" s="24">
        <f t="shared" si="84"/>
        <v>1500362426</v>
      </c>
      <c r="U62" s="24">
        <f t="shared" si="85"/>
        <v>2844683748</v>
      </c>
      <c r="V62" s="24">
        <f t="shared" si="86"/>
        <v>93772651</v>
      </c>
      <c r="W62" s="24">
        <f t="shared" si="87"/>
        <v>766957395</v>
      </c>
      <c r="X62" s="24">
        <f t="shared" si="88"/>
        <v>484165643</v>
      </c>
      <c r="Y62" s="24">
        <f t="shared" si="89"/>
        <v>2290502720</v>
      </c>
      <c r="Z62" s="24">
        <f t="shared" si="90"/>
        <v>17076778</v>
      </c>
      <c r="AA62" s="24">
        <f t="shared" si="91"/>
        <v>828945316</v>
      </c>
      <c r="AB62" s="24">
        <f t="shared" si="92"/>
        <v>1559981521</v>
      </c>
      <c r="AC62" s="24">
        <f t="shared" si="93"/>
        <v>555782912</v>
      </c>
      <c r="AD62" s="24">
        <f t="shared" si="94"/>
        <v>484132865</v>
      </c>
      <c r="AE62" s="24">
        <f t="shared" si="95"/>
        <v>484336887</v>
      </c>
      <c r="AF62" s="24">
        <f t="shared" si="96"/>
        <v>1075881434</v>
      </c>
      <c r="AG62" s="24">
        <f t="shared" si="97"/>
        <v>1537639351</v>
      </c>
      <c r="AH62" s="24">
        <f t="shared" si="98"/>
        <v>2501388992</v>
      </c>
      <c r="AI62" s="24">
        <f t="shared" si="99"/>
        <v>24025614</v>
      </c>
      <c r="AJ62" s="24">
        <f t="shared" si="100"/>
        <v>3730071723</v>
      </c>
      <c r="AK62" s="24">
        <f t="shared" si="101"/>
        <v>1477145808</v>
      </c>
      <c r="AL62" s="24">
        <f t="shared" si="102"/>
        <v>1995612933</v>
      </c>
      <c r="AM62" s="24">
        <f t="shared" si="103"/>
        <v>19300870</v>
      </c>
      <c r="AN62" s="24">
        <f t="shared" si="104"/>
        <v>2484084864</v>
      </c>
      <c r="AO62" s="24">
        <f t="shared" si="105"/>
        <v>1523063225</v>
      </c>
      <c r="AP62" s="24">
        <f t="shared" si="106"/>
        <v>1263290987</v>
      </c>
      <c r="AQ62" s="24">
        <f t="shared" si="107"/>
        <v>1476923536</v>
      </c>
      <c r="AR62" s="24">
        <f t="shared" si="108"/>
        <v>1111491073</v>
      </c>
      <c r="AS62" s="24">
        <f t="shared" si="109"/>
        <v>46361961</v>
      </c>
      <c r="AT62" s="24">
        <f t="shared" si="110"/>
        <v>1035921774</v>
      </c>
      <c r="AU62" s="24">
        <f t="shared" si="111"/>
        <v>847254616</v>
      </c>
      <c r="AV62" s="24">
        <f t="shared" si="112"/>
        <v>1168539689</v>
      </c>
      <c r="AW62" s="24">
        <f t="shared" si="113"/>
        <v>1078405540</v>
      </c>
      <c r="AX62" s="24">
        <f t="shared" si="114"/>
        <v>5263616</v>
      </c>
      <c r="BA62" s="24">
        <f t="shared" si="115"/>
        <v>1925660156</v>
      </c>
      <c r="BB62" s="24">
        <f t="shared" si="116"/>
        <v>1173803305</v>
      </c>
      <c r="BC62" s="24">
        <f t="shared" si="117"/>
        <v>810648192</v>
      </c>
      <c r="BD62" s="24">
        <f t="shared" si="118"/>
        <v>18483241</v>
      </c>
      <c r="BE62" s="24">
        <f t="shared" si="119"/>
        <v>675283104</v>
      </c>
      <c r="BF62" s="24">
        <f t="shared" si="120"/>
        <v>27287611</v>
      </c>
      <c r="BG62" s="24">
        <f t="shared" si="121"/>
        <v>583020672</v>
      </c>
      <c r="BH62" s="24">
        <f t="shared" si="122"/>
        <v>322965609</v>
      </c>
      <c r="BI62" s="24">
        <f t="shared" si="123"/>
        <v>541065344</v>
      </c>
      <c r="BJ62" s="24">
        <f t="shared" si="124"/>
        <v>16777257</v>
      </c>
      <c r="BK62" s="24">
        <f t="shared" si="125"/>
        <v>986821280</v>
      </c>
      <c r="BL62" s="24">
        <f t="shared" si="126"/>
        <v>335181947</v>
      </c>
      <c r="BM62" s="24">
        <f>MOD(R61+AF62+BB62+'📦 Константы SHA-512'!D60+BI256,4294967296)</f>
        <v>1376306664</v>
      </c>
      <c r="BN62" s="24">
        <f>INT((R61+AF62+BB62+'📦 Константы SHA-512'!D60+BI256)/4294967296)</f>
        <v>1</v>
      </c>
      <c r="BO62" s="24">
        <f>MOD(Q61+AE62+BA62+'📦 Константы SHA-512'!C60+BH256+BN62,4294967296)</f>
        <v>2953729063</v>
      </c>
      <c r="BP62" s="24" t="s">
        <v>354</v>
      </c>
      <c r="BQ62" s="24">
        <f t="shared" si="127"/>
        <v>1371103721</v>
      </c>
      <c r="BR62" s="24">
        <f t="shared" si="128"/>
        <v>0</v>
      </c>
      <c r="BS62" s="24">
        <f t="shared" si="129"/>
        <v>1033183241</v>
      </c>
      <c r="BU62" s="24">
        <f t="shared" si="130"/>
        <v>3429230944</v>
      </c>
      <c r="BV62" s="24">
        <f t="shared" si="131"/>
        <v>2238801070</v>
      </c>
      <c r="BW62" s="24">
        <f t="shared" si="132"/>
        <v>3986912304</v>
      </c>
      <c r="BX62" s="24">
        <f t="shared" si="133"/>
        <v>2747410385</v>
      </c>
    </row>
    <row r="63" spans="2:76" ht="12.75" customHeight="1" x14ac:dyDescent="0.25">
      <c r="B63" s="27">
        <v>58</v>
      </c>
      <c r="C63" s="42">
        <f t="shared" si="67"/>
        <v>889859260</v>
      </c>
      <c r="D63" s="42">
        <f t="shared" si="68"/>
        <v>3175386976</v>
      </c>
      <c r="E63" s="42">
        <f t="shared" si="69"/>
        <v>3986912304</v>
      </c>
      <c r="F63" s="42">
        <f t="shared" si="70"/>
        <v>2747410385</v>
      </c>
      <c r="G63" s="42">
        <f t="shared" si="71"/>
        <v>2035385004</v>
      </c>
      <c r="H63" s="42">
        <f t="shared" si="72"/>
        <v>96102459</v>
      </c>
      <c r="I63" s="42">
        <f t="shared" si="73"/>
        <v>3002201794</v>
      </c>
      <c r="J63" s="42">
        <f t="shared" si="74"/>
        <v>2472221033</v>
      </c>
      <c r="K63" s="42">
        <f t="shared" si="75"/>
        <v>4098684712</v>
      </c>
      <c r="L63" s="42">
        <f t="shared" si="76"/>
        <v>1254784500</v>
      </c>
      <c r="M63" s="42">
        <f t="shared" si="77"/>
        <v>3429230944</v>
      </c>
      <c r="N63" s="42">
        <f t="shared" si="78"/>
        <v>2238801070</v>
      </c>
      <c r="O63" s="42">
        <f t="shared" si="79"/>
        <v>3079673435</v>
      </c>
      <c r="P63" s="42">
        <f t="shared" si="80"/>
        <v>1840162361</v>
      </c>
      <c r="Q63" s="42">
        <f t="shared" si="81"/>
        <v>2060098940</v>
      </c>
      <c r="R63" s="42">
        <f t="shared" si="82"/>
        <v>3589785711</v>
      </c>
      <c r="S63" s="24">
        <f t="shared" si="83"/>
        <v>2461741463</v>
      </c>
      <c r="T63" s="24">
        <f t="shared" si="84"/>
        <v>2776765893</v>
      </c>
      <c r="U63" s="24">
        <f t="shared" si="85"/>
        <v>1496036121</v>
      </c>
      <c r="V63" s="24">
        <f t="shared" si="86"/>
        <v>2052596060</v>
      </c>
      <c r="W63" s="24">
        <f t="shared" si="87"/>
        <v>2957162674</v>
      </c>
      <c r="X63" s="24">
        <f t="shared" si="88"/>
        <v>1466315508</v>
      </c>
      <c r="Y63" s="24">
        <f t="shared" si="89"/>
        <v>271266065</v>
      </c>
      <c r="Z63" s="24">
        <f t="shared" si="90"/>
        <v>536871236</v>
      </c>
      <c r="AA63" s="24">
        <f t="shared" si="91"/>
        <v>3415245454</v>
      </c>
      <c r="AB63" s="24">
        <f t="shared" si="92"/>
        <v>3755619481</v>
      </c>
      <c r="AC63" s="24">
        <f t="shared" si="93"/>
        <v>2147516546</v>
      </c>
      <c r="AD63" s="24">
        <f t="shared" si="94"/>
        <v>1463955600</v>
      </c>
      <c r="AE63" s="24">
        <f t="shared" si="95"/>
        <v>2077375036</v>
      </c>
      <c r="AF63" s="24">
        <f t="shared" si="96"/>
        <v>2294023789</v>
      </c>
      <c r="AG63" s="24">
        <f t="shared" si="97"/>
        <v>1008893214</v>
      </c>
      <c r="AH63" s="24">
        <f t="shared" si="98"/>
        <v>3661054730</v>
      </c>
      <c r="AI63" s="24">
        <f t="shared" si="99"/>
        <v>686852596</v>
      </c>
      <c r="AJ63" s="24">
        <f t="shared" si="100"/>
        <v>2070469900</v>
      </c>
      <c r="AK63" s="24">
        <f t="shared" si="101"/>
        <v>1632076879</v>
      </c>
      <c r="AL63" s="24">
        <f t="shared" si="102"/>
        <v>2749056744</v>
      </c>
      <c r="AM63" s="24">
        <f t="shared" si="103"/>
        <v>673188116</v>
      </c>
      <c r="AN63" s="24">
        <f t="shared" si="104"/>
        <v>1512063240</v>
      </c>
      <c r="AO63" s="24">
        <f t="shared" si="105"/>
        <v>349369578</v>
      </c>
      <c r="AP63" s="24">
        <f t="shared" si="106"/>
        <v>2707398150</v>
      </c>
      <c r="AQ63" s="24">
        <f t="shared" si="107"/>
        <v>4359242</v>
      </c>
      <c r="AR63" s="24">
        <f t="shared" si="108"/>
        <v>2707097088</v>
      </c>
      <c r="AS63" s="24">
        <f t="shared" si="109"/>
        <v>1972727973</v>
      </c>
      <c r="AT63" s="24">
        <f t="shared" si="110"/>
        <v>42260718</v>
      </c>
      <c r="AU63" s="24">
        <f t="shared" si="111"/>
        <v>2214592576</v>
      </c>
      <c r="AV63" s="24">
        <f t="shared" si="112"/>
        <v>85992488</v>
      </c>
      <c r="AW63" s="24">
        <f t="shared" si="113"/>
        <v>847909916</v>
      </c>
      <c r="AX63" s="24">
        <f t="shared" si="114"/>
        <v>1350993985</v>
      </c>
      <c r="BA63" s="24">
        <f t="shared" si="115"/>
        <v>3062502492</v>
      </c>
      <c r="BB63" s="24">
        <f t="shared" si="116"/>
        <v>1436986473</v>
      </c>
      <c r="BC63" s="24">
        <f t="shared" si="117"/>
        <v>1761673248</v>
      </c>
      <c r="BD63" s="24">
        <f t="shared" si="118"/>
        <v>25305105</v>
      </c>
      <c r="BE63" s="24">
        <f t="shared" si="119"/>
        <v>2694935552</v>
      </c>
      <c r="BF63" s="24">
        <f t="shared" si="120"/>
        <v>2202140993</v>
      </c>
      <c r="BG63" s="24">
        <f t="shared" si="121"/>
        <v>810648192</v>
      </c>
      <c r="BH63" s="24">
        <f t="shared" si="122"/>
        <v>18483241</v>
      </c>
      <c r="BI63" s="24">
        <f t="shared" si="123"/>
        <v>536936448</v>
      </c>
      <c r="BJ63" s="24">
        <f t="shared" si="124"/>
        <v>16908289</v>
      </c>
      <c r="BK63" s="24">
        <f t="shared" si="125"/>
        <v>4193384096</v>
      </c>
      <c r="BL63" s="24">
        <f t="shared" si="126"/>
        <v>2212112761</v>
      </c>
      <c r="BM63" s="24">
        <f>MOD(R62+AF63+BB63+'📦 Константы SHA-512'!D61+BI257,4294967296)</f>
        <v>921013497</v>
      </c>
      <c r="BN63" s="24">
        <f>INT((R62+AF63+BB63+'📦 Константы SHA-512'!D61+BI257)/4294967296)</f>
        <v>2</v>
      </c>
      <c r="BO63" s="24">
        <f>MOD(Q62+AE63+BA63+'📦 Константы SHA-512'!C61+BH257+BN63,4294967296)</f>
        <v>3313681783</v>
      </c>
      <c r="BP63" s="24" t="s">
        <v>355</v>
      </c>
      <c r="BQ63" s="24">
        <f t="shared" si="127"/>
        <v>2254373479</v>
      </c>
      <c r="BR63" s="24">
        <f t="shared" si="128"/>
        <v>0</v>
      </c>
      <c r="BS63" s="24">
        <f t="shared" si="129"/>
        <v>1871144773</v>
      </c>
      <c r="BU63" s="24">
        <f t="shared" si="130"/>
        <v>4098684712</v>
      </c>
      <c r="BV63" s="24">
        <f t="shared" si="131"/>
        <v>1254784500</v>
      </c>
      <c r="BW63" s="24">
        <f t="shared" si="132"/>
        <v>889859260</v>
      </c>
      <c r="BX63" s="24">
        <f t="shared" si="133"/>
        <v>3175386976</v>
      </c>
    </row>
    <row r="64" spans="2:76" ht="12.75" customHeight="1" x14ac:dyDescent="0.25">
      <c r="B64" s="29">
        <v>59</v>
      </c>
      <c r="C64" s="44">
        <f t="shared" si="67"/>
        <v>3557377228</v>
      </c>
      <c r="D64" s="44">
        <f t="shared" si="68"/>
        <v>1516331620</v>
      </c>
      <c r="E64" s="44">
        <f t="shared" si="69"/>
        <v>889859260</v>
      </c>
      <c r="F64" s="44">
        <f t="shared" si="70"/>
        <v>3175386976</v>
      </c>
      <c r="G64" s="44">
        <f t="shared" si="71"/>
        <v>3986912304</v>
      </c>
      <c r="H64" s="44">
        <f t="shared" si="72"/>
        <v>2747410385</v>
      </c>
      <c r="I64" s="44">
        <f t="shared" si="73"/>
        <v>2035385004</v>
      </c>
      <c r="J64" s="44">
        <f t="shared" si="74"/>
        <v>96102459</v>
      </c>
      <c r="K64" s="44">
        <f t="shared" si="75"/>
        <v>2274671116</v>
      </c>
      <c r="L64" s="44">
        <f t="shared" si="76"/>
        <v>2859464607</v>
      </c>
      <c r="M64" s="44">
        <f t="shared" si="77"/>
        <v>4098684712</v>
      </c>
      <c r="N64" s="44">
        <f t="shared" si="78"/>
        <v>1254784500</v>
      </c>
      <c r="O64" s="44">
        <f t="shared" si="79"/>
        <v>3429230944</v>
      </c>
      <c r="P64" s="44">
        <f t="shared" si="80"/>
        <v>2238801070</v>
      </c>
      <c r="Q64" s="44">
        <f t="shared" si="81"/>
        <v>3079673435</v>
      </c>
      <c r="R64" s="44">
        <f t="shared" si="82"/>
        <v>1840162361</v>
      </c>
      <c r="S64" s="24">
        <f t="shared" si="83"/>
        <v>4157854003</v>
      </c>
      <c r="T64" s="24">
        <f t="shared" si="84"/>
        <v>3701549865</v>
      </c>
      <c r="U64" s="24">
        <f t="shared" si="85"/>
        <v>2675784979</v>
      </c>
      <c r="V64" s="24">
        <f t="shared" si="86"/>
        <v>1036653234</v>
      </c>
      <c r="W64" s="24">
        <f t="shared" si="87"/>
        <v>2485478718</v>
      </c>
      <c r="X64" s="24">
        <f t="shared" si="88"/>
        <v>4202309243</v>
      </c>
      <c r="Y64" s="24">
        <f t="shared" si="89"/>
        <v>2538672403</v>
      </c>
      <c r="Z64" s="24">
        <f t="shared" si="90"/>
        <v>478151200</v>
      </c>
      <c r="AA64" s="24">
        <f t="shared" si="91"/>
        <v>1756294176</v>
      </c>
      <c r="AB64" s="24">
        <f t="shared" si="92"/>
        <v>3781900699</v>
      </c>
      <c r="AC64" s="24">
        <f t="shared" si="93"/>
        <v>2384928</v>
      </c>
      <c r="AD64" s="24">
        <f t="shared" si="94"/>
        <v>3765051419</v>
      </c>
      <c r="AE64" s="24">
        <f t="shared" si="95"/>
        <v>4237003038</v>
      </c>
      <c r="AF64" s="24">
        <f t="shared" si="96"/>
        <v>454107104</v>
      </c>
      <c r="AG64" s="24">
        <f t="shared" si="97"/>
        <v>3561551363</v>
      </c>
      <c r="AH64" s="24">
        <f t="shared" si="98"/>
        <v>1352846283</v>
      </c>
      <c r="AI64" s="24">
        <f t="shared" si="99"/>
        <v>793846744</v>
      </c>
      <c r="AJ64" s="24">
        <f t="shared" si="100"/>
        <v>222464815</v>
      </c>
      <c r="AK64" s="24">
        <f t="shared" si="101"/>
        <v>2038073630</v>
      </c>
      <c r="AL64" s="24">
        <f t="shared" si="102"/>
        <v>3228177497</v>
      </c>
      <c r="AM64" s="24">
        <f t="shared" si="103"/>
        <v>71311872</v>
      </c>
      <c r="AN64" s="24">
        <f t="shared" si="104"/>
        <v>166667</v>
      </c>
      <c r="AO64" s="24">
        <f t="shared" si="105"/>
        <v>4212774363</v>
      </c>
      <c r="AP64" s="24">
        <f t="shared" si="106"/>
        <v>1574977764</v>
      </c>
      <c r="AQ64" s="24">
        <f t="shared" si="107"/>
        <v>2031649050</v>
      </c>
      <c r="AR64" s="24">
        <f t="shared" si="108"/>
        <v>1080033344</v>
      </c>
      <c r="AS64" s="24">
        <f t="shared" si="109"/>
        <v>2187549893</v>
      </c>
      <c r="AT64" s="24">
        <f t="shared" si="110"/>
        <v>2643088573</v>
      </c>
      <c r="AU64" s="24">
        <f t="shared" si="111"/>
        <v>3292848416</v>
      </c>
      <c r="AV64" s="24">
        <f t="shared" si="112"/>
        <v>4220068</v>
      </c>
      <c r="AW64" s="24">
        <f t="shared" si="113"/>
        <v>59768915</v>
      </c>
      <c r="AX64" s="24">
        <f t="shared" si="114"/>
        <v>623149577</v>
      </c>
      <c r="BA64" s="24">
        <f t="shared" si="115"/>
        <v>3352617331</v>
      </c>
      <c r="BB64" s="24">
        <f t="shared" si="116"/>
        <v>627369645</v>
      </c>
      <c r="BC64" s="24">
        <f t="shared" si="117"/>
        <v>620897328</v>
      </c>
      <c r="BD64" s="24">
        <f t="shared" si="118"/>
        <v>2705327936</v>
      </c>
      <c r="BE64" s="24">
        <f t="shared" si="119"/>
        <v>822083756</v>
      </c>
      <c r="BF64" s="24">
        <f t="shared" si="120"/>
        <v>83888160</v>
      </c>
      <c r="BG64" s="24">
        <f t="shared" si="121"/>
        <v>1761673248</v>
      </c>
      <c r="BH64" s="24">
        <f t="shared" si="122"/>
        <v>25305105</v>
      </c>
      <c r="BI64" s="24">
        <f t="shared" si="123"/>
        <v>553648160</v>
      </c>
      <c r="BJ64" s="24">
        <f t="shared" si="124"/>
        <v>16777216</v>
      </c>
      <c r="BK64" s="24">
        <f t="shared" si="125"/>
        <v>2097358012</v>
      </c>
      <c r="BL64" s="24">
        <f t="shared" si="126"/>
        <v>2780966769</v>
      </c>
      <c r="BM64" s="24">
        <f>MOD(R63+AF64+BB64+'📦 Константы SHA-512'!D62+BI258,4294967296)</f>
        <v>387243574</v>
      </c>
      <c r="BN64" s="24">
        <f>INT((R63+AF64+BB64+'📦 Константы SHA-512'!D62+BI258)/4294967296)</f>
        <v>2</v>
      </c>
      <c r="BO64" s="24">
        <f>MOD(Q63+AE64+BA64+'📦 Константы SHA-512'!C62+BH258+BN64,4294967296)</f>
        <v>3567436618</v>
      </c>
      <c r="BP64" s="24" t="s">
        <v>356</v>
      </c>
      <c r="BQ64" s="24">
        <f t="shared" si="127"/>
        <v>1129088046</v>
      </c>
      <c r="BR64" s="24">
        <f t="shared" si="128"/>
        <v>1</v>
      </c>
      <c r="BS64" s="24">
        <f t="shared" si="129"/>
        <v>4284907906</v>
      </c>
      <c r="BU64" s="24">
        <f t="shared" si="130"/>
        <v>2274671116</v>
      </c>
      <c r="BV64" s="24">
        <f t="shared" si="131"/>
        <v>2859464607</v>
      </c>
      <c r="BW64" s="24">
        <f t="shared" si="132"/>
        <v>3557377228</v>
      </c>
      <c r="BX64" s="24">
        <f t="shared" si="133"/>
        <v>1516331620</v>
      </c>
    </row>
    <row r="65" spans="2:76" ht="12.75" customHeight="1" x14ac:dyDescent="0.25">
      <c r="B65" s="31">
        <v>60</v>
      </c>
      <c r="C65" s="45">
        <f t="shared" si="67"/>
        <v>2667406869</v>
      </c>
      <c r="D65" s="45">
        <f t="shared" si="68"/>
        <v>1262709456</v>
      </c>
      <c r="E65" s="45">
        <f t="shared" si="69"/>
        <v>3557377228</v>
      </c>
      <c r="F65" s="45">
        <f t="shared" si="70"/>
        <v>1516331620</v>
      </c>
      <c r="G65" s="45">
        <f t="shared" si="71"/>
        <v>889859260</v>
      </c>
      <c r="H65" s="45">
        <f t="shared" si="72"/>
        <v>3175386976</v>
      </c>
      <c r="I65" s="45">
        <f t="shared" si="73"/>
        <v>3986912304</v>
      </c>
      <c r="J65" s="45">
        <f t="shared" si="74"/>
        <v>2747410385</v>
      </c>
      <c r="K65" s="45">
        <f t="shared" si="75"/>
        <v>4211656691</v>
      </c>
      <c r="L65" s="45">
        <f t="shared" si="76"/>
        <v>3649018924</v>
      </c>
      <c r="M65" s="45">
        <f t="shared" si="77"/>
        <v>2274671116</v>
      </c>
      <c r="N65" s="45">
        <f t="shared" si="78"/>
        <v>2859464607</v>
      </c>
      <c r="O65" s="45">
        <f t="shared" si="79"/>
        <v>4098684712</v>
      </c>
      <c r="P65" s="45">
        <f t="shared" si="80"/>
        <v>1254784500</v>
      </c>
      <c r="Q65" s="45">
        <f t="shared" si="81"/>
        <v>3429230944</v>
      </c>
      <c r="R65" s="45">
        <f t="shared" si="82"/>
        <v>2238801070</v>
      </c>
      <c r="S65" s="24">
        <f t="shared" si="83"/>
        <v>3732807250</v>
      </c>
      <c r="T65" s="24">
        <f t="shared" si="84"/>
        <v>3895634367</v>
      </c>
      <c r="U65" s="24">
        <f t="shared" si="85"/>
        <v>4259832293</v>
      </c>
      <c r="V65" s="24">
        <f t="shared" si="86"/>
        <v>780348059</v>
      </c>
      <c r="W65" s="24">
        <f t="shared" si="87"/>
        <v>106248187</v>
      </c>
      <c r="X65" s="24">
        <f t="shared" si="88"/>
        <v>3485715037</v>
      </c>
      <c r="Y65" s="24">
        <f t="shared" si="89"/>
        <v>3697672256</v>
      </c>
      <c r="Z65" s="24">
        <f t="shared" si="90"/>
        <v>671230107</v>
      </c>
      <c r="AA65" s="24">
        <f t="shared" si="91"/>
        <v>597295031</v>
      </c>
      <c r="AB65" s="24">
        <f t="shared" si="92"/>
        <v>3333522212</v>
      </c>
      <c r="AC65" s="24">
        <f t="shared" si="93"/>
        <v>34682803</v>
      </c>
      <c r="AD65" s="24">
        <f t="shared" si="94"/>
        <v>3330376196</v>
      </c>
      <c r="AE65" s="24">
        <f t="shared" si="95"/>
        <v>634177612</v>
      </c>
      <c r="AF65" s="24">
        <f t="shared" si="96"/>
        <v>158484857</v>
      </c>
      <c r="AG65" s="24">
        <f t="shared" si="97"/>
        <v>2786469453</v>
      </c>
      <c r="AH65" s="24">
        <f t="shared" si="98"/>
        <v>1083460805</v>
      </c>
      <c r="AI65" s="24">
        <f t="shared" si="99"/>
        <v>379082905</v>
      </c>
      <c r="AJ65" s="24">
        <f t="shared" si="100"/>
        <v>889344307</v>
      </c>
      <c r="AK65" s="24">
        <f t="shared" si="101"/>
        <v>2561983172</v>
      </c>
      <c r="AL65" s="24">
        <f t="shared" si="102"/>
        <v>3383235209</v>
      </c>
      <c r="AM65" s="24">
        <f t="shared" si="103"/>
        <v>101711881</v>
      </c>
      <c r="AN65" s="24">
        <f t="shared" si="104"/>
        <v>16385</v>
      </c>
      <c r="AO65" s="24">
        <f t="shared" si="105"/>
        <v>2962128596</v>
      </c>
      <c r="AP65" s="24">
        <f t="shared" si="106"/>
        <v>1972772342</v>
      </c>
      <c r="AQ65" s="24">
        <f t="shared" si="107"/>
        <v>2424586948</v>
      </c>
      <c r="AR65" s="24">
        <f t="shared" si="108"/>
        <v>1098911872</v>
      </c>
      <c r="AS65" s="24">
        <f t="shared" si="109"/>
        <v>674937872</v>
      </c>
      <c r="AT65" s="24">
        <f t="shared" si="110"/>
        <v>3158183807</v>
      </c>
      <c r="AU65" s="24">
        <f t="shared" si="111"/>
        <v>2214900232</v>
      </c>
      <c r="AV65" s="24">
        <f t="shared" si="112"/>
        <v>172651924</v>
      </c>
      <c r="AW65" s="24">
        <f t="shared" si="113"/>
        <v>1214333280</v>
      </c>
      <c r="AX65" s="24">
        <f t="shared" si="114"/>
        <v>84934688</v>
      </c>
      <c r="BA65" s="24">
        <f t="shared" si="115"/>
        <v>3429233512</v>
      </c>
      <c r="BB65" s="24">
        <f t="shared" si="116"/>
        <v>257586612</v>
      </c>
      <c r="BC65" s="24">
        <f t="shared" si="117"/>
        <v>336069772</v>
      </c>
      <c r="BD65" s="24">
        <f t="shared" si="118"/>
        <v>406848096</v>
      </c>
      <c r="BE65" s="24">
        <f t="shared" si="119"/>
        <v>3288417280</v>
      </c>
      <c r="BF65" s="24">
        <f t="shared" si="120"/>
        <v>37757504</v>
      </c>
      <c r="BG65" s="24">
        <f t="shared" si="121"/>
        <v>620897328</v>
      </c>
      <c r="BH65" s="24">
        <f t="shared" si="122"/>
        <v>2705327936</v>
      </c>
      <c r="BI65" s="24">
        <f t="shared" si="123"/>
        <v>67109888</v>
      </c>
      <c r="BJ65" s="24">
        <f t="shared" si="124"/>
        <v>4194880</v>
      </c>
      <c r="BK65" s="24">
        <f t="shared" si="125"/>
        <v>4111164604</v>
      </c>
      <c r="BL65" s="24">
        <f t="shared" si="126"/>
        <v>3141543776</v>
      </c>
      <c r="BM65" s="24">
        <f>MOD(R64+AF65+BB65+'📦 Константы SHA-512'!D63+BI259,4294967296)</f>
        <v>3552916465</v>
      </c>
      <c r="BN65" s="24">
        <f>INT((R64+AF65+BB65+'📦 Константы SHA-512'!D63+BI259)/4294967296)</f>
        <v>0</v>
      </c>
      <c r="BO65" s="24">
        <f>MOD(Q64+AE65+BA65+'📦 Константы SHA-512'!C63+BH259+BN65,4294967296)</f>
        <v>2176271687</v>
      </c>
      <c r="BP65" s="24" t="s">
        <v>357</v>
      </c>
      <c r="BQ65" s="24">
        <f t="shared" si="127"/>
        <v>2004760287</v>
      </c>
      <c r="BR65" s="24">
        <f t="shared" si="128"/>
        <v>1</v>
      </c>
      <c r="BS65" s="24">
        <f t="shared" si="129"/>
        <v>491135181</v>
      </c>
      <c r="BU65" s="24">
        <f t="shared" si="130"/>
        <v>4211656691</v>
      </c>
      <c r="BV65" s="24">
        <f t="shared" si="131"/>
        <v>3649018924</v>
      </c>
      <c r="BW65" s="24">
        <f t="shared" si="132"/>
        <v>2667406869</v>
      </c>
      <c r="BX65" s="24">
        <f t="shared" si="133"/>
        <v>1262709456</v>
      </c>
    </row>
    <row r="66" spans="2:76" ht="12.75" customHeight="1" x14ac:dyDescent="0.25">
      <c r="B66" s="22">
        <v>61</v>
      </c>
      <c r="C66" s="47">
        <f t="shared" si="67"/>
        <v>1762247307</v>
      </c>
      <c r="D66" s="47">
        <f t="shared" si="68"/>
        <v>1808123073</v>
      </c>
      <c r="E66" s="47">
        <f t="shared" si="69"/>
        <v>2667406869</v>
      </c>
      <c r="F66" s="47">
        <f t="shared" si="70"/>
        <v>1262709456</v>
      </c>
      <c r="G66" s="47">
        <f t="shared" si="71"/>
        <v>3557377228</v>
      </c>
      <c r="H66" s="47">
        <f t="shared" si="72"/>
        <v>1516331620</v>
      </c>
      <c r="I66" s="47">
        <f t="shared" si="73"/>
        <v>889859260</v>
      </c>
      <c r="J66" s="47">
        <f t="shared" si="74"/>
        <v>3175386976</v>
      </c>
      <c r="K66" s="47">
        <f t="shared" si="75"/>
        <v>4130529463</v>
      </c>
      <c r="L66" s="47">
        <f t="shared" si="76"/>
        <v>1257357333</v>
      </c>
      <c r="M66" s="47">
        <f t="shared" si="77"/>
        <v>4211656691</v>
      </c>
      <c r="N66" s="47">
        <f t="shared" si="78"/>
        <v>3649018924</v>
      </c>
      <c r="O66" s="47">
        <f t="shared" si="79"/>
        <v>2274671116</v>
      </c>
      <c r="P66" s="47">
        <f t="shared" si="80"/>
        <v>2859464607</v>
      </c>
      <c r="Q66" s="47">
        <f t="shared" si="81"/>
        <v>4098684712</v>
      </c>
      <c r="R66" s="47">
        <f t="shared" si="82"/>
        <v>1254784500</v>
      </c>
      <c r="S66" s="24">
        <f t="shared" si="83"/>
        <v>1890839587</v>
      </c>
      <c r="T66" s="24">
        <f t="shared" si="84"/>
        <v>533685758</v>
      </c>
      <c r="U66" s="24">
        <f t="shared" si="85"/>
        <v>3876273858</v>
      </c>
      <c r="V66" s="24">
        <f t="shared" si="86"/>
        <v>838661727</v>
      </c>
      <c r="W66" s="24">
        <f t="shared" si="87"/>
        <v>4193042382</v>
      </c>
      <c r="X66" s="24">
        <f t="shared" si="88"/>
        <v>377324643</v>
      </c>
      <c r="Y66" s="24">
        <f t="shared" si="89"/>
        <v>1610820610</v>
      </c>
      <c r="Z66" s="24">
        <f t="shared" si="90"/>
        <v>298607710</v>
      </c>
      <c r="AA66" s="24">
        <f t="shared" si="91"/>
        <v>2545472225</v>
      </c>
      <c r="AB66" s="24">
        <f t="shared" si="92"/>
        <v>775132065</v>
      </c>
      <c r="AC66" s="24">
        <f t="shared" si="93"/>
        <v>2443743936</v>
      </c>
      <c r="AD66" s="24">
        <f t="shared" si="94"/>
        <v>103907361</v>
      </c>
      <c r="AE66" s="24">
        <f t="shared" si="95"/>
        <v>1851026735</v>
      </c>
      <c r="AF66" s="24">
        <f t="shared" si="96"/>
        <v>944641986</v>
      </c>
      <c r="AG66" s="24">
        <f t="shared" si="97"/>
        <v>3023482121</v>
      </c>
      <c r="AH66" s="24">
        <f t="shared" si="98"/>
        <v>4023804244</v>
      </c>
      <c r="AI66" s="24">
        <f t="shared" si="99"/>
        <v>1389419188</v>
      </c>
      <c r="AJ66" s="24">
        <f t="shared" si="100"/>
        <v>666851717</v>
      </c>
      <c r="AK66" s="24">
        <f t="shared" si="101"/>
        <v>714507989</v>
      </c>
      <c r="AL66" s="24">
        <f t="shared" si="102"/>
        <v>2705193676</v>
      </c>
      <c r="AM66" s="24">
        <f t="shared" si="103"/>
        <v>269518848</v>
      </c>
      <c r="AN66" s="24">
        <f t="shared" si="104"/>
        <v>664158468</v>
      </c>
      <c r="AO66" s="24">
        <f t="shared" si="105"/>
        <v>3873863613</v>
      </c>
      <c r="AP66" s="24">
        <f t="shared" si="106"/>
        <v>3362339025</v>
      </c>
      <c r="AQ66" s="24">
        <f t="shared" si="107"/>
        <v>579208853</v>
      </c>
      <c r="AR66" s="24">
        <f t="shared" si="108"/>
        <v>2150185152</v>
      </c>
      <c r="AS66" s="24">
        <f t="shared" si="109"/>
        <v>3429953896</v>
      </c>
      <c r="AT66" s="24">
        <f t="shared" si="110"/>
        <v>1767162397</v>
      </c>
      <c r="AU66" s="24">
        <f t="shared" si="111"/>
        <v>2197848576</v>
      </c>
      <c r="AV66" s="24">
        <f t="shared" si="112"/>
        <v>2289013772</v>
      </c>
      <c r="AW66" s="24">
        <f t="shared" si="113"/>
        <v>71577608</v>
      </c>
      <c r="AX66" s="24">
        <f t="shared" si="114"/>
        <v>41968080</v>
      </c>
      <c r="BA66" s="24">
        <f t="shared" si="115"/>
        <v>2269426184</v>
      </c>
      <c r="BB66" s="24">
        <f t="shared" si="116"/>
        <v>2330981852</v>
      </c>
      <c r="BC66" s="24">
        <f t="shared" si="117"/>
        <v>2483635204</v>
      </c>
      <c r="BD66" s="24">
        <f t="shared" si="118"/>
        <v>1245798976</v>
      </c>
      <c r="BE66" s="24">
        <f t="shared" si="119"/>
        <v>336077844</v>
      </c>
      <c r="BF66" s="24">
        <f t="shared" si="120"/>
        <v>155191872</v>
      </c>
      <c r="BG66" s="24">
        <f t="shared" si="121"/>
        <v>336069772</v>
      </c>
      <c r="BH66" s="24">
        <f t="shared" si="122"/>
        <v>406848096</v>
      </c>
      <c r="BI66" s="24">
        <f t="shared" si="123"/>
        <v>336069636</v>
      </c>
      <c r="BJ66" s="24">
        <f t="shared" si="124"/>
        <v>138412608</v>
      </c>
      <c r="BK66" s="24">
        <f t="shared" si="125"/>
        <v>2483643548</v>
      </c>
      <c r="BL66" s="24">
        <f t="shared" si="126"/>
        <v>1531013728</v>
      </c>
      <c r="BM66" s="24">
        <f>MOD(R65+AF66+BB66+'📦 Константы SHA-512'!D64+BI260,4294967296)</f>
        <v>2804914244</v>
      </c>
      <c r="BN66" s="24">
        <f>INT((R65+AF66+BB66+'📦 Константы SHA-512'!D64+BI260)/4294967296)</f>
        <v>1</v>
      </c>
      <c r="BO66" s="24">
        <f>MOD(Q65+AE66+BA66+'📦 Константы SHA-512'!C64+BH260+BN66,4294967296)</f>
        <v>143617158</v>
      </c>
      <c r="BP66" s="24" t="s">
        <v>358</v>
      </c>
      <c r="BQ66" s="24">
        <f t="shared" si="127"/>
        <v>3298176125</v>
      </c>
      <c r="BR66" s="24">
        <f t="shared" si="128"/>
        <v>0</v>
      </c>
      <c r="BS66" s="24">
        <f t="shared" si="129"/>
        <v>1618630148</v>
      </c>
      <c r="BU66" s="24">
        <f t="shared" si="130"/>
        <v>4130529463</v>
      </c>
      <c r="BV66" s="24">
        <f t="shared" si="131"/>
        <v>1257357333</v>
      </c>
      <c r="BW66" s="24">
        <f t="shared" si="132"/>
        <v>1762247307</v>
      </c>
      <c r="BX66" s="24">
        <f t="shared" si="133"/>
        <v>1808123073</v>
      </c>
    </row>
    <row r="67" spans="2:76" ht="12.75" customHeight="1" x14ac:dyDescent="0.25">
      <c r="B67" s="25">
        <v>62</v>
      </c>
      <c r="C67" s="49">
        <f t="shared" si="67"/>
        <v>770094199</v>
      </c>
      <c r="D67" s="49">
        <f t="shared" si="68"/>
        <v>3455293896</v>
      </c>
      <c r="E67" s="49">
        <f t="shared" si="69"/>
        <v>1762247307</v>
      </c>
      <c r="F67" s="49">
        <f t="shared" si="70"/>
        <v>1808123073</v>
      </c>
      <c r="G67" s="49">
        <f t="shared" si="71"/>
        <v>2667406869</v>
      </c>
      <c r="H67" s="49">
        <f t="shared" si="72"/>
        <v>1262709456</v>
      </c>
      <c r="I67" s="49">
        <f t="shared" si="73"/>
        <v>3557377228</v>
      </c>
      <c r="J67" s="49">
        <f t="shared" si="74"/>
        <v>1516331620</v>
      </c>
      <c r="K67" s="49">
        <f t="shared" si="75"/>
        <v>376234999</v>
      </c>
      <c r="L67" s="49">
        <f t="shared" si="76"/>
        <v>4159339223</v>
      </c>
      <c r="M67" s="49">
        <f t="shared" si="77"/>
        <v>4130529463</v>
      </c>
      <c r="N67" s="49">
        <f t="shared" si="78"/>
        <v>1257357333</v>
      </c>
      <c r="O67" s="49">
        <f t="shared" si="79"/>
        <v>4211656691</v>
      </c>
      <c r="P67" s="49">
        <f t="shared" si="80"/>
        <v>3649018924</v>
      </c>
      <c r="Q67" s="49">
        <f t="shared" si="81"/>
        <v>2274671116</v>
      </c>
      <c r="R67" s="49">
        <f t="shared" si="82"/>
        <v>2859464607</v>
      </c>
      <c r="S67" s="24">
        <f t="shared" si="83"/>
        <v>5757131</v>
      </c>
      <c r="T67" s="24">
        <f t="shared" si="84"/>
        <v>2195532743</v>
      </c>
      <c r="U67" s="24">
        <f t="shared" si="85"/>
        <v>1879408012</v>
      </c>
      <c r="V67" s="24">
        <f t="shared" si="86"/>
        <v>3090010812</v>
      </c>
      <c r="W67" s="24">
        <f t="shared" si="87"/>
        <v>1537571040</v>
      </c>
      <c r="X67" s="24">
        <f t="shared" si="88"/>
        <v>184228208</v>
      </c>
      <c r="Y67" s="24">
        <f t="shared" si="89"/>
        <v>350344</v>
      </c>
      <c r="Z67" s="24">
        <f t="shared" si="90"/>
        <v>2148336260</v>
      </c>
      <c r="AA67" s="24">
        <f t="shared" si="91"/>
        <v>1884464455</v>
      </c>
      <c r="AB67" s="24">
        <f t="shared" si="92"/>
        <v>988871035</v>
      </c>
      <c r="AC67" s="24">
        <f t="shared" si="93"/>
        <v>1342185536</v>
      </c>
      <c r="AD67" s="24">
        <f t="shared" si="94"/>
        <v>183507312</v>
      </c>
      <c r="AE67" s="24">
        <f t="shared" si="95"/>
        <v>737664423</v>
      </c>
      <c r="AF67" s="24">
        <f t="shared" si="96"/>
        <v>806084619</v>
      </c>
      <c r="AG67" s="24">
        <f t="shared" si="97"/>
        <v>3160165398</v>
      </c>
      <c r="AH67" s="24">
        <f t="shared" si="98"/>
        <v>2426153142</v>
      </c>
      <c r="AI67" s="24">
        <f t="shared" si="99"/>
        <v>3673256240</v>
      </c>
      <c r="AJ67" s="24">
        <f t="shared" si="100"/>
        <v>1514303650</v>
      </c>
      <c r="AK67" s="24">
        <f t="shared" si="101"/>
        <v>383224713</v>
      </c>
      <c r="AL67" s="24">
        <f t="shared" si="102"/>
        <v>2194805637</v>
      </c>
      <c r="AM67" s="24">
        <f t="shared" si="103"/>
        <v>2555396112</v>
      </c>
      <c r="AN67" s="24">
        <f t="shared" si="104"/>
        <v>268443810</v>
      </c>
      <c r="AO67" s="24">
        <f t="shared" si="105"/>
        <v>1722629414</v>
      </c>
      <c r="AP67" s="24">
        <f t="shared" si="106"/>
        <v>3403569172</v>
      </c>
      <c r="AQ67" s="24">
        <f t="shared" si="107"/>
        <v>109381888</v>
      </c>
      <c r="AR67" s="24">
        <f t="shared" si="108"/>
        <v>2194804740</v>
      </c>
      <c r="AS67" s="24">
        <f t="shared" si="109"/>
        <v>1887090351</v>
      </c>
      <c r="AT67" s="24">
        <f t="shared" si="110"/>
        <v>1208765329</v>
      </c>
      <c r="AU67" s="24">
        <f t="shared" si="111"/>
        <v>4060135603</v>
      </c>
      <c r="AV67" s="24">
        <f t="shared" si="112"/>
        <v>1215397892</v>
      </c>
      <c r="AW67" s="24">
        <f t="shared" si="113"/>
        <v>25434632</v>
      </c>
      <c r="AX67" s="24">
        <f t="shared" si="114"/>
        <v>2685286282</v>
      </c>
      <c r="BA67" s="24">
        <f t="shared" si="115"/>
        <v>4085570235</v>
      </c>
      <c r="BB67" s="24">
        <f t="shared" si="116"/>
        <v>3900684174</v>
      </c>
      <c r="BC67" s="24">
        <f t="shared" si="117"/>
        <v>134824449</v>
      </c>
      <c r="BD67" s="24">
        <f t="shared" si="118"/>
        <v>1262567616</v>
      </c>
      <c r="BE67" s="24">
        <f t="shared" si="119"/>
        <v>1074348168</v>
      </c>
      <c r="BF67" s="24">
        <f t="shared" si="120"/>
        <v>1245790272</v>
      </c>
      <c r="BG67" s="24">
        <f t="shared" si="121"/>
        <v>2483635204</v>
      </c>
      <c r="BH67" s="24">
        <f t="shared" si="122"/>
        <v>1245798976</v>
      </c>
      <c r="BI67" s="24">
        <f t="shared" si="123"/>
        <v>606208</v>
      </c>
      <c r="BJ67" s="24">
        <f t="shared" si="124"/>
        <v>1245790272</v>
      </c>
      <c r="BK67" s="24">
        <f t="shared" si="125"/>
        <v>3691595405</v>
      </c>
      <c r="BL67" s="24">
        <f t="shared" si="126"/>
        <v>1262576320</v>
      </c>
      <c r="BM67" s="24">
        <f>MOD(R66+AF67+BB67+'📦 Константы SHA-512'!D65+BI261,4294967296)</f>
        <v>983952247</v>
      </c>
      <c r="BN67" s="24">
        <f>INT((R66+AF67+BB67+'📦 Константы SHA-512'!D65+BI261)/4294967296)</f>
        <v>3</v>
      </c>
      <c r="BO67" s="24">
        <f>MOD(Q66+AE67+BA67+'📦 Константы SHA-512'!C65+BH261+BN67,4294967296)</f>
        <v>3781343035</v>
      </c>
      <c r="BP67" s="24" t="s">
        <v>359</v>
      </c>
      <c r="BQ67" s="24">
        <f t="shared" si="127"/>
        <v>2471341649</v>
      </c>
      <c r="BR67" s="24">
        <f t="shared" si="128"/>
        <v>0</v>
      </c>
      <c r="BS67" s="24">
        <f t="shared" si="129"/>
        <v>1283718460</v>
      </c>
      <c r="BU67" s="24">
        <f t="shared" si="130"/>
        <v>376234999</v>
      </c>
      <c r="BV67" s="24">
        <f t="shared" si="131"/>
        <v>4159339223</v>
      </c>
      <c r="BW67" s="24">
        <f t="shared" si="132"/>
        <v>770094199</v>
      </c>
      <c r="BX67" s="24">
        <f t="shared" si="133"/>
        <v>3455293896</v>
      </c>
    </row>
    <row r="68" spans="2:76" ht="12.75" customHeight="1" x14ac:dyDescent="0.25">
      <c r="B68" s="27">
        <v>63</v>
      </c>
      <c r="C68" s="51">
        <f t="shared" si="67"/>
        <v>1119146076</v>
      </c>
      <c r="D68" s="51">
        <f t="shared" si="68"/>
        <v>1301663130</v>
      </c>
      <c r="E68" s="51">
        <f t="shared" si="69"/>
        <v>770094199</v>
      </c>
      <c r="F68" s="51">
        <f t="shared" si="70"/>
        <v>3455293896</v>
      </c>
      <c r="G68" s="51">
        <f t="shared" si="71"/>
        <v>1762247307</v>
      </c>
      <c r="H68" s="51">
        <f t="shared" si="72"/>
        <v>1808123073</v>
      </c>
      <c r="I68" s="51">
        <f t="shared" si="73"/>
        <v>2667406869</v>
      </c>
      <c r="J68" s="51">
        <f t="shared" si="74"/>
        <v>1262709456</v>
      </c>
      <c r="K68" s="51">
        <f t="shared" si="75"/>
        <v>619811150</v>
      </c>
      <c r="L68" s="51">
        <f t="shared" si="76"/>
        <v>384450613</v>
      </c>
      <c r="M68" s="51">
        <f t="shared" si="77"/>
        <v>376234999</v>
      </c>
      <c r="N68" s="51">
        <f t="shared" si="78"/>
        <v>4159339223</v>
      </c>
      <c r="O68" s="51">
        <f t="shared" si="79"/>
        <v>4130529463</v>
      </c>
      <c r="P68" s="51">
        <f t="shared" si="80"/>
        <v>1257357333</v>
      </c>
      <c r="Q68" s="51">
        <f t="shared" si="81"/>
        <v>4211656691</v>
      </c>
      <c r="R68" s="51">
        <f t="shared" si="82"/>
        <v>3649018924</v>
      </c>
      <c r="S68" s="24">
        <f t="shared" si="83"/>
        <v>3948698035</v>
      </c>
      <c r="T68" s="24">
        <f t="shared" si="84"/>
        <v>2413813673</v>
      </c>
      <c r="U68" s="24">
        <f t="shared" si="85"/>
        <v>2662712731</v>
      </c>
      <c r="V68" s="24">
        <f t="shared" si="86"/>
        <v>956169722</v>
      </c>
      <c r="W68" s="24">
        <f t="shared" si="87"/>
        <v>4227593533</v>
      </c>
      <c r="X68" s="24">
        <f t="shared" si="88"/>
        <v>1804285553</v>
      </c>
      <c r="Y68" s="24">
        <f t="shared" si="89"/>
        <v>2316583315</v>
      </c>
      <c r="Z68" s="24">
        <f t="shared" si="90"/>
        <v>148757928</v>
      </c>
      <c r="AA68" s="24">
        <f t="shared" si="91"/>
        <v>1978244136</v>
      </c>
      <c r="AB68" s="24">
        <f t="shared" si="92"/>
        <v>3072467539</v>
      </c>
      <c r="AC68" s="24">
        <f t="shared" si="93"/>
        <v>1911133224</v>
      </c>
      <c r="AD68" s="24">
        <f t="shared" si="94"/>
        <v>587342417</v>
      </c>
      <c r="AE68" s="24">
        <f t="shared" si="95"/>
        <v>2383571221</v>
      </c>
      <c r="AF68" s="24">
        <f t="shared" si="96"/>
        <v>3702068258</v>
      </c>
      <c r="AG68" s="24">
        <f t="shared" si="97"/>
        <v>3745094786</v>
      </c>
      <c r="AH68" s="24">
        <f t="shared" si="98"/>
        <v>3731572604</v>
      </c>
      <c r="AI68" s="24">
        <f t="shared" si="99"/>
        <v>4085048946</v>
      </c>
      <c r="AJ68" s="24">
        <f t="shared" si="100"/>
        <v>192523549</v>
      </c>
      <c r="AK68" s="24">
        <f t="shared" si="101"/>
        <v>4019971891</v>
      </c>
      <c r="AL68" s="24">
        <f t="shared" si="102"/>
        <v>2421935464</v>
      </c>
      <c r="AM68" s="24">
        <f t="shared" si="103"/>
        <v>3543696386</v>
      </c>
      <c r="AN68" s="24">
        <f t="shared" si="104"/>
        <v>174654748</v>
      </c>
      <c r="AO68" s="24">
        <f t="shared" si="105"/>
        <v>742750960</v>
      </c>
      <c r="AP68" s="24">
        <f t="shared" si="106"/>
        <v>3574786657</v>
      </c>
      <c r="AQ68" s="24">
        <f t="shared" si="107"/>
        <v>738288176</v>
      </c>
      <c r="AR68" s="24">
        <f t="shared" si="108"/>
        <v>2417150048</v>
      </c>
      <c r="AS68" s="24">
        <f t="shared" si="109"/>
        <v>3286146499</v>
      </c>
      <c r="AT68" s="24">
        <f t="shared" si="110"/>
        <v>1162422025</v>
      </c>
      <c r="AU68" s="24">
        <f t="shared" si="111"/>
        <v>371253431</v>
      </c>
      <c r="AV68" s="24">
        <f t="shared" si="112"/>
        <v>1121992725</v>
      </c>
      <c r="AW68" s="24">
        <f t="shared" si="113"/>
        <v>3909092352</v>
      </c>
      <c r="AX68" s="24">
        <f t="shared" si="114"/>
        <v>135627816</v>
      </c>
      <c r="BA68" s="24">
        <f t="shared" si="115"/>
        <v>4280345783</v>
      </c>
      <c r="BB68" s="24">
        <f t="shared" si="116"/>
        <v>1257620541</v>
      </c>
      <c r="BC68" s="24">
        <f t="shared" si="117"/>
        <v>687898627</v>
      </c>
      <c r="BD68" s="24">
        <f t="shared" si="118"/>
        <v>1237418176</v>
      </c>
      <c r="BE68" s="24">
        <f t="shared" si="119"/>
        <v>216278037</v>
      </c>
      <c r="BF68" s="24">
        <f t="shared" si="120"/>
        <v>1229129920</v>
      </c>
      <c r="BG68" s="24">
        <f t="shared" si="121"/>
        <v>134824449</v>
      </c>
      <c r="BH68" s="24">
        <f t="shared" si="122"/>
        <v>1262567616</v>
      </c>
      <c r="BI68" s="24">
        <f t="shared" si="123"/>
        <v>134217729</v>
      </c>
      <c r="BJ68" s="24">
        <f t="shared" si="124"/>
        <v>1228996800</v>
      </c>
      <c r="BK68" s="24">
        <f t="shared" si="125"/>
        <v>770565655</v>
      </c>
      <c r="BL68" s="24">
        <f t="shared" si="126"/>
        <v>1271122112</v>
      </c>
      <c r="BM68" s="24">
        <f>MOD(R67+AF68+BB68+'📦 Константы SHA-512'!D66+BI262,4294967296)</f>
        <v>3163086289</v>
      </c>
      <c r="BN68" s="24">
        <f>INT((R67+AF68+BB68+'📦 Константы SHA-512'!D66+BI262)/4294967296)</f>
        <v>2</v>
      </c>
      <c r="BO68" s="24">
        <f>MOD(Q67+AE68+BA68+'📦 Константы SHA-512'!C66+BH262+BN68,4294967296)</f>
        <v>1357401217</v>
      </c>
      <c r="BP68" s="24" t="s">
        <v>360</v>
      </c>
      <c r="BQ68" s="24">
        <f t="shared" si="127"/>
        <v>2433544137</v>
      </c>
      <c r="BR68" s="24">
        <f t="shared" si="128"/>
        <v>0</v>
      </c>
      <c r="BS68" s="24">
        <f t="shared" si="129"/>
        <v>4056712154</v>
      </c>
      <c r="BU68" s="24">
        <f t="shared" si="130"/>
        <v>619811150</v>
      </c>
      <c r="BV68" s="24">
        <f t="shared" si="131"/>
        <v>384450613</v>
      </c>
      <c r="BW68" s="24">
        <f t="shared" si="132"/>
        <v>1119146076</v>
      </c>
      <c r="BX68" s="24">
        <f t="shared" si="133"/>
        <v>1301663130</v>
      </c>
    </row>
    <row r="69" spans="2:76" ht="12.75" customHeight="1" x14ac:dyDescent="0.25">
      <c r="B69" s="29">
        <v>64</v>
      </c>
      <c r="C69" s="53">
        <f t="shared" si="67"/>
        <v>843074681</v>
      </c>
      <c r="D69" s="53">
        <f t="shared" si="68"/>
        <v>3851311236</v>
      </c>
      <c r="E69" s="53">
        <f t="shared" si="69"/>
        <v>1119146076</v>
      </c>
      <c r="F69" s="53">
        <f t="shared" si="70"/>
        <v>1301663130</v>
      </c>
      <c r="G69" s="53">
        <f t="shared" si="71"/>
        <v>770094199</v>
      </c>
      <c r="H69" s="53">
        <f t="shared" si="72"/>
        <v>3455293896</v>
      </c>
      <c r="I69" s="53">
        <f t="shared" si="73"/>
        <v>1762247307</v>
      </c>
      <c r="J69" s="53">
        <f t="shared" si="74"/>
        <v>1808123073</v>
      </c>
      <c r="K69" s="53">
        <f t="shared" si="75"/>
        <v>4109787350</v>
      </c>
      <c r="L69" s="53">
        <f t="shared" si="76"/>
        <v>1402379545</v>
      </c>
      <c r="M69" s="53">
        <f t="shared" si="77"/>
        <v>619811150</v>
      </c>
      <c r="N69" s="53">
        <f t="shared" si="78"/>
        <v>384450613</v>
      </c>
      <c r="O69" s="53">
        <f t="shared" si="79"/>
        <v>376234999</v>
      </c>
      <c r="P69" s="53">
        <f t="shared" si="80"/>
        <v>4159339223</v>
      </c>
      <c r="Q69" s="53">
        <f t="shared" si="81"/>
        <v>4130529463</v>
      </c>
      <c r="R69" s="53">
        <f t="shared" si="82"/>
        <v>1257357333</v>
      </c>
      <c r="S69" s="24">
        <f t="shared" si="83"/>
        <v>13931462</v>
      </c>
      <c r="T69" s="24">
        <f t="shared" si="84"/>
        <v>1161321385</v>
      </c>
      <c r="U69" s="24">
        <f t="shared" si="85"/>
        <v>2416789820</v>
      </c>
      <c r="V69" s="24">
        <f t="shared" si="86"/>
        <v>1683195322</v>
      </c>
      <c r="W69" s="24">
        <f t="shared" si="87"/>
        <v>2802545952</v>
      </c>
      <c r="X69" s="24">
        <f t="shared" si="88"/>
        <v>445806792</v>
      </c>
      <c r="Y69" s="24">
        <f t="shared" si="89"/>
        <v>262404</v>
      </c>
      <c r="Z69" s="24">
        <f t="shared" si="90"/>
        <v>1141899688</v>
      </c>
      <c r="AA69" s="24">
        <f t="shared" si="91"/>
        <v>2430196474</v>
      </c>
      <c r="AB69" s="24">
        <f t="shared" si="92"/>
        <v>560717331</v>
      </c>
      <c r="AC69" s="24">
        <f t="shared" si="93"/>
        <v>2148093984</v>
      </c>
      <c r="AD69" s="24">
        <f t="shared" si="94"/>
        <v>153600</v>
      </c>
      <c r="AE69" s="24">
        <f t="shared" si="95"/>
        <v>936554458</v>
      </c>
      <c r="AF69" s="24">
        <f t="shared" si="96"/>
        <v>1006216923</v>
      </c>
      <c r="AG69" s="24">
        <f t="shared" si="97"/>
        <v>3646740900</v>
      </c>
      <c r="AH69" s="24">
        <f t="shared" si="98"/>
        <v>726468036</v>
      </c>
      <c r="AI69" s="24">
        <f t="shared" si="99"/>
        <v>325415782</v>
      </c>
      <c r="AJ69" s="24">
        <f t="shared" si="100"/>
        <v>2427270167</v>
      </c>
      <c r="AK69" s="24">
        <f t="shared" si="101"/>
        <v>3097176987</v>
      </c>
      <c r="AL69" s="24">
        <f t="shared" si="102"/>
        <v>881158560</v>
      </c>
      <c r="AM69" s="24">
        <f t="shared" si="103"/>
        <v>289689892</v>
      </c>
      <c r="AN69" s="24">
        <f t="shared" si="104"/>
        <v>852996</v>
      </c>
      <c r="AO69" s="24">
        <f t="shared" si="105"/>
        <v>3392776898</v>
      </c>
      <c r="AP69" s="24">
        <f t="shared" si="106"/>
        <v>3152032211</v>
      </c>
      <c r="AQ69" s="24">
        <f t="shared" si="107"/>
        <v>2283350658</v>
      </c>
      <c r="AR69" s="24">
        <f t="shared" si="108"/>
        <v>813703552</v>
      </c>
      <c r="AS69" s="24">
        <f t="shared" si="109"/>
        <v>1923252569</v>
      </c>
      <c r="AT69" s="24">
        <f t="shared" si="110"/>
        <v>2405783667</v>
      </c>
      <c r="AU69" s="24">
        <f t="shared" si="111"/>
        <v>73433414</v>
      </c>
      <c r="AV69" s="24">
        <f t="shared" si="112"/>
        <v>384450581</v>
      </c>
      <c r="AW69" s="24">
        <f t="shared" si="113"/>
        <v>3523371185</v>
      </c>
      <c r="AX69" s="24">
        <f t="shared" si="114"/>
        <v>1209106432</v>
      </c>
      <c r="BA69" s="24">
        <f t="shared" si="115"/>
        <v>3596804599</v>
      </c>
      <c r="BB69" s="24">
        <f t="shared" si="116"/>
        <v>1593557013</v>
      </c>
      <c r="BC69" s="24">
        <f t="shared" si="117"/>
        <v>10784852</v>
      </c>
      <c r="BD69" s="24">
        <f t="shared" si="118"/>
        <v>1301383560</v>
      </c>
      <c r="BE69" s="24">
        <f t="shared" si="119"/>
        <v>1073790984</v>
      </c>
      <c r="BF69" s="24">
        <f t="shared" si="120"/>
        <v>1233503360</v>
      </c>
      <c r="BG69" s="24">
        <f t="shared" si="121"/>
        <v>687898627</v>
      </c>
      <c r="BH69" s="24">
        <f t="shared" si="122"/>
        <v>1237418176</v>
      </c>
      <c r="BI69" s="24">
        <f t="shared" si="123"/>
        <v>32768</v>
      </c>
      <c r="BJ69" s="24">
        <f t="shared" si="124"/>
        <v>1233223808</v>
      </c>
      <c r="BK69" s="24">
        <f t="shared" si="125"/>
        <v>1772408927</v>
      </c>
      <c r="BL69" s="24">
        <f t="shared" si="126"/>
        <v>1305857480</v>
      </c>
      <c r="BM69" s="24">
        <f>MOD(R68+AF69+BB69+'📦 Константы SHA-512'!D67+BI263,4294967296)</f>
        <v>139670089</v>
      </c>
      <c r="BN69" s="24">
        <f>INT((R68+AF69+BB69+'📦 Константы SHA-512'!D67+BI263)/4294967296)</f>
        <v>3</v>
      </c>
      <c r="BO69" s="24">
        <f>MOD(Q68+AE69+BA69+'📦 Константы SHA-512'!C67+BH263+BN69,4294967296)</f>
        <v>1442380481</v>
      </c>
      <c r="BP69" s="24" t="s">
        <v>361</v>
      </c>
      <c r="BQ69" s="24">
        <f t="shared" si="127"/>
        <v>3711641147</v>
      </c>
      <c r="BR69" s="24">
        <f t="shared" si="128"/>
        <v>0</v>
      </c>
      <c r="BS69" s="24">
        <f t="shared" si="129"/>
        <v>3695661496</v>
      </c>
      <c r="BU69" s="24">
        <f t="shared" si="130"/>
        <v>4109787350</v>
      </c>
      <c r="BV69" s="24">
        <f t="shared" si="131"/>
        <v>1402379545</v>
      </c>
      <c r="BW69" s="24">
        <f t="shared" si="132"/>
        <v>843074681</v>
      </c>
      <c r="BX69" s="24">
        <f t="shared" si="133"/>
        <v>3851311236</v>
      </c>
    </row>
    <row r="70" spans="2:76" ht="12.75" customHeight="1" x14ac:dyDescent="0.25">
      <c r="B70" s="31">
        <v>65</v>
      </c>
      <c r="C70" s="23">
        <f t="shared" ref="C70:C85" si="134">BW70</f>
        <v>1991551722</v>
      </c>
      <c r="D70" s="23">
        <f t="shared" ref="D70:D85" si="135">BX70</f>
        <v>2048617625</v>
      </c>
      <c r="E70" s="23">
        <f t="shared" ref="E70:E85" si="136">C69</f>
        <v>843074681</v>
      </c>
      <c r="F70" s="23">
        <f t="shared" ref="F70:F85" si="137">D69</f>
        <v>3851311236</v>
      </c>
      <c r="G70" s="23">
        <f t="shared" ref="G70:G85" si="138">E69</f>
        <v>1119146076</v>
      </c>
      <c r="H70" s="23">
        <f t="shared" ref="H70:H85" si="139">F69</f>
        <v>1301663130</v>
      </c>
      <c r="I70" s="23">
        <f t="shared" ref="I70:I85" si="140">G69</f>
        <v>770094199</v>
      </c>
      <c r="J70" s="23">
        <f t="shared" ref="J70:J85" si="141">H69</f>
        <v>3455293896</v>
      </c>
      <c r="K70" s="23">
        <f t="shared" ref="K70:K85" si="142">BU70</f>
        <v>3935082020</v>
      </c>
      <c r="L70" s="23">
        <f t="shared" ref="L70:L85" si="143">BV70</f>
        <v>4149806010</v>
      </c>
      <c r="M70" s="23">
        <f t="shared" ref="M70:M85" si="144">K69</f>
        <v>4109787350</v>
      </c>
      <c r="N70" s="23">
        <f t="shared" ref="N70:N85" si="145">L69</f>
        <v>1402379545</v>
      </c>
      <c r="O70" s="23">
        <f t="shared" ref="O70:O85" si="146">M69</f>
        <v>619811150</v>
      </c>
      <c r="P70" s="23">
        <f t="shared" ref="P70:P85" si="147">N69</f>
        <v>384450613</v>
      </c>
      <c r="Q70" s="23">
        <f t="shared" ref="Q70:Q85" si="148">O69</f>
        <v>376234999</v>
      </c>
      <c r="R70" s="23">
        <f t="shared" ref="R70:R85" si="149">P69</f>
        <v>4159339223</v>
      </c>
      <c r="S70" s="24">
        <f t="shared" ref="S70:S85" si="150">MOD(INT(K69/2^14)+MOD(L69,2^14)*2^18,4294967296)</f>
        <v>1952961497</v>
      </c>
      <c r="T70" s="24">
        <f t="shared" ref="T70:T85" si="151">MOD(INT(L69/2^14)+MOD(K69,2^14)*2^18,4294967296)</f>
        <v>2203668058</v>
      </c>
      <c r="U70" s="24">
        <f t="shared" ref="U70:U85" si="152">MOD(INT(K69/2^18)+MOD(L69,2^18)*2^14,4294967296)</f>
        <v>2806414653</v>
      </c>
      <c r="V70" s="24">
        <f t="shared" ref="V70:V85" si="153">MOD(INT(L69/2^18)+MOD(K69,2^18)*2^14,4294967296)</f>
        <v>2553648357</v>
      </c>
      <c r="W70" s="24">
        <f t="shared" ref="W70:W85" si="154">MOD(INT(L69/2^9)+MOD(K69,2^9)*2^23,4294967296)</f>
        <v>1797901134</v>
      </c>
      <c r="X70" s="24">
        <f t="shared" ref="X70:X85" si="155">MOD(INT(K69/2^9)+MOD(L69,2^9)*2^23,4294967296)</f>
        <v>2365225776</v>
      </c>
      <c r="Y70" s="24">
        <f t="shared" ref="Y70:Y85" si="156">((MOD(INT(MOD(INT((S70)/1),256)/2^0),2)*MOD(INT(MOD(INT((U70)/1),256)/2^0),2)*1+MOD(INT(MOD(INT((S70)/1),256)/2^1),2)*MOD(INT(MOD(INT((U70)/1),256)/2^1),2)*2+MOD(INT(MOD(INT((S70)/1),256)/2^2),2)*MOD(INT(MOD(INT((U70)/1),256)/2^2),2)*4+MOD(INT(MOD(INT((S70)/1),256)/2^3),2)*MOD(INT(MOD(INT((U70)/1),256)/2^3),2)*8+MOD(INT(MOD(INT((S70)/1),256)/2^4),2)*MOD(INT(MOD(INT((U70)/1),256)/2^4),2)*16+MOD(INT(MOD(INT((S70)/1),256)/2^5),2)*MOD(INT(MOD(INT((U70)/1),256)/2^5),2)*32+MOD(INT(MOD(INT((S70)/1),256)/2^6),2)*MOD(INT(MOD(INT((U70)/1),256)/2^6),2)*64+MOD(INT(MOD(INT((S70)/1),256)/2^7),2)*MOD(INT(MOD(INT((U70)/1),256)/2^7),2)*128)*1+(MOD(INT(MOD(INT((S70)/256),256)/2^0),2)*MOD(INT(MOD(INT((U70)/256),256)/2^0),2)*1+MOD(INT(MOD(INT((S70)/256),256)/2^1),2)*MOD(INT(MOD(INT((U70)/256),256)/2^1),2)*2+MOD(INT(MOD(INT((S70)/256),256)/2^2),2)*MOD(INT(MOD(INT((U70)/256),256)/2^2),2)*4+MOD(INT(MOD(INT((S70)/256),256)/2^3),2)*MOD(INT(MOD(INT((U70)/256),256)/2^3),2)*8+MOD(INT(MOD(INT((S70)/256),256)/2^4),2)*MOD(INT(MOD(INT((U70)/256),256)/2^4),2)*16+MOD(INT(MOD(INT((S70)/256),256)/2^5),2)*MOD(INT(MOD(INT((U70)/256),256)/2^5),2)*32+MOD(INT(MOD(INT((S70)/256),256)/2^6),2)*MOD(INT(MOD(INT((U70)/256),256)/2^6),2)*64+MOD(INT(MOD(INT((S70)/256),256)/2^7),2)*MOD(INT(MOD(INT((U70)/256),256)/2^7),2)*128)*256+(MOD(INT(MOD(INT((S70)/65536),256)/2^0),2)*MOD(INT(MOD(INT((U70)/65536),256)/2^0),2)*1+MOD(INT(MOD(INT((S70)/65536),256)/2^1),2)*MOD(INT(MOD(INT((U70)/65536),256)/2^1),2)*2+MOD(INT(MOD(INT((S70)/65536),256)/2^2),2)*MOD(INT(MOD(INT((U70)/65536),256)/2^2),2)*4+MOD(INT(MOD(INT((S70)/65536),256)/2^3),2)*MOD(INT(MOD(INT((U70)/65536),256)/2^3),2)*8+MOD(INT(MOD(INT((S70)/65536),256)/2^4),2)*MOD(INT(MOD(INT((U70)/65536),256)/2^4),2)*16+MOD(INT(MOD(INT((S70)/65536),256)/2^5),2)*MOD(INT(MOD(INT((U70)/65536),256)/2^5),2)*32+MOD(INT(MOD(INT((S70)/65536),256)/2^6),2)*MOD(INT(MOD(INT((U70)/65536),256)/2^6),2)*64+MOD(INT(MOD(INT((S70)/65536),256)/2^7),2)*MOD(INT(MOD(INT((U70)/65536),256)/2^7),2)*128)*65536+(MOD(INT(MOD(INT((S70)/16777216),256)/2^0),2)*MOD(INT(MOD(INT((U70)/16777216),256)/2^0),2)*1+MOD(INT(MOD(INT((S70)/16777216),256)/2^1),2)*MOD(INT(MOD(INT((U70)/16777216),256)/2^1),2)*2+MOD(INT(MOD(INT((S70)/16777216),256)/2^2),2)*MOD(INT(MOD(INT((U70)/16777216),256)/2^2),2)*4+MOD(INT(MOD(INT((S70)/16777216),256)/2^3),2)*MOD(INT(MOD(INT((U70)/16777216),256)/2^3),2)*8+MOD(INT(MOD(INT((S70)/16777216),256)/2^4),2)*MOD(INT(MOD(INT((U70)/16777216),256)/2^4),2)*16+MOD(INT(MOD(INT((S70)/16777216),256)/2^5),2)*MOD(INT(MOD(INT((U70)/16777216),256)/2^5),2)*32+MOD(INT(MOD(INT((S70)/16777216),256)/2^6),2)*MOD(INT(MOD(INT((U70)/16777216),256)/2^6),2)*64+MOD(INT(MOD(INT((S70)/16777216),256)/2^7),2)*MOD(INT(MOD(INT((U70)/16777216),256)/2^7),2)*128)*16777216)</f>
        <v>608588057</v>
      </c>
      <c r="Z70" s="24">
        <f t="shared" ref="Z70:Z85" si="157">((MOD(INT(MOD(INT((T70)/1),256)/2^0),2)*MOD(INT(MOD(INT((V70)/1),256)/2^0),2)*1+MOD(INT(MOD(INT((T70)/1),256)/2^1),2)*MOD(INT(MOD(INT((V70)/1),256)/2^1),2)*2+MOD(INT(MOD(INT((T70)/1),256)/2^2),2)*MOD(INT(MOD(INT((V70)/1),256)/2^2),2)*4+MOD(INT(MOD(INT((T70)/1),256)/2^3),2)*MOD(INT(MOD(INT((V70)/1),256)/2^3),2)*8+MOD(INT(MOD(INT((T70)/1),256)/2^4),2)*MOD(INT(MOD(INT((V70)/1),256)/2^4),2)*16+MOD(INT(MOD(INT((T70)/1),256)/2^5),2)*MOD(INT(MOD(INT((V70)/1),256)/2^5),2)*32+MOD(INT(MOD(INT((T70)/1),256)/2^6),2)*MOD(INT(MOD(INT((V70)/1),256)/2^6),2)*64+MOD(INT(MOD(INT((T70)/1),256)/2^7),2)*MOD(INT(MOD(INT((V70)/1),256)/2^7),2)*128)*1+(MOD(INT(MOD(INT((T70)/256),256)/2^0),2)*MOD(INT(MOD(INT((V70)/256),256)/2^0),2)*1+MOD(INT(MOD(INT((T70)/256),256)/2^1),2)*MOD(INT(MOD(INT((V70)/256),256)/2^1),2)*2+MOD(INT(MOD(INT((T70)/256),256)/2^2),2)*MOD(INT(MOD(INT((V70)/256),256)/2^2),2)*4+MOD(INT(MOD(INT((T70)/256),256)/2^3),2)*MOD(INT(MOD(INT((V70)/256),256)/2^3),2)*8+MOD(INT(MOD(INT((T70)/256),256)/2^4),2)*MOD(INT(MOD(INT((V70)/256),256)/2^4),2)*16+MOD(INT(MOD(INT((T70)/256),256)/2^5),2)*MOD(INT(MOD(INT((V70)/256),256)/2^5),2)*32+MOD(INT(MOD(INT((T70)/256),256)/2^6),2)*MOD(INT(MOD(INT((V70)/256),256)/2^6),2)*64+MOD(INT(MOD(INT((T70)/256),256)/2^7),2)*MOD(INT(MOD(INT((V70)/256),256)/2^7),2)*128)*256+(MOD(INT(MOD(INT((T70)/65536),256)/2^0),2)*MOD(INT(MOD(INT((V70)/65536),256)/2^0),2)*1+MOD(INT(MOD(INT((T70)/65536),256)/2^1),2)*MOD(INT(MOD(INT((V70)/65536),256)/2^1),2)*2+MOD(INT(MOD(INT((T70)/65536),256)/2^2),2)*MOD(INT(MOD(INT((V70)/65536),256)/2^2),2)*4+MOD(INT(MOD(INT((T70)/65536),256)/2^3),2)*MOD(INT(MOD(INT((V70)/65536),256)/2^3),2)*8+MOD(INT(MOD(INT((T70)/65536),256)/2^4),2)*MOD(INT(MOD(INT((V70)/65536),256)/2^4),2)*16+MOD(INT(MOD(INT((T70)/65536),256)/2^5),2)*MOD(INT(MOD(INT((V70)/65536),256)/2^5),2)*32+MOD(INT(MOD(INT((T70)/65536),256)/2^6),2)*MOD(INT(MOD(INT((V70)/65536),256)/2^6),2)*64+MOD(INT(MOD(INT((T70)/65536),256)/2^7),2)*MOD(INT(MOD(INT((V70)/65536),256)/2^7),2)*128)*65536+(MOD(INT(MOD(INT((T70)/16777216),256)/2^0),2)*MOD(INT(MOD(INT((V70)/16777216),256)/2^0),2)*1+MOD(INT(MOD(INT((T70)/16777216),256)/2^1),2)*MOD(INT(MOD(INT((V70)/16777216),256)/2^1),2)*2+MOD(INT(MOD(INT((T70)/16777216),256)/2^2),2)*MOD(INT(MOD(INT((V70)/16777216),256)/2^2),2)*4+MOD(INT(MOD(INT((T70)/16777216),256)/2^3),2)*MOD(INT(MOD(INT((V70)/16777216),256)/2^3),2)*8+MOD(INT(MOD(INT((T70)/16777216),256)/2^4),2)*MOD(INT(MOD(INT((V70)/16777216),256)/2^4),2)*16+MOD(INT(MOD(INT((T70)/16777216),256)/2^5),2)*MOD(INT(MOD(INT((V70)/16777216),256)/2^5),2)*32+MOD(INT(MOD(INT((T70)/16777216),256)/2^6),2)*MOD(INT(MOD(INT((V70)/16777216),256)/2^6),2)*64+MOD(INT(MOD(INT((T70)/16777216),256)/2^7),2)*MOD(INT(MOD(INT((V70)/16777216),256)/2^7),2)*128)*16777216)</f>
        <v>2148598848</v>
      </c>
      <c r="AA70" s="24">
        <f t="shared" ref="AA70:AA85" si="158">MOD(S70+U70-2*Y70,4294967296)</f>
        <v>3542200036</v>
      </c>
      <c r="AB70" s="24">
        <f t="shared" ref="AB70:AB85" si="159">MOD(T70+V70-2*Z70,4294967296)</f>
        <v>460118719</v>
      </c>
      <c r="AC70" s="24">
        <f t="shared" ref="AC70:AC85" si="160">((MOD(INT(MOD(INT((AA70)/1),256)/2^0),2)*MOD(INT(MOD(INT((W70)/1),256)/2^0),2)*1+MOD(INT(MOD(INT((AA70)/1),256)/2^1),2)*MOD(INT(MOD(INT((W70)/1),256)/2^1),2)*2+MOD(INT(MOD(INT((AA70)/1),256)/2^2),2)*MOD(INT(MOD(INT((W70)/1),256)/2^2),2)*4+MOD(INT(MOD(INT((AA70)/1),256)/2^3),2)*MOD(INT(MOD(INT((W70)/1),256)/2^3),2)*8+MOD(INT(MOD(INT((AA70)/1),256)/2^4),2)*MOD(INT(MOD(INT((W70)/1),256)/2^4),2)*16+MOD(INT(MOD(INT((AA70)/1),256)/2^5),2)*MOD(INT(MOD(INT((W70)/1),256)/2^5),2)*32+MOD(INT(MOD(INT((AA70)/1),256)/2^6),2)*MOD(INT(MOD(INT((W70)/1),256)/2^6),2)*64+MOD(INT(MOD(INT((AA70)/1),256)/2^7),2)*MOD(INT(MOD(INT((W70)/1),256)/2^7),2)*128)*1+(MOD(INT(MOD(INT((AA70)/256),256)/2^0),2)*MOD(INT(MOD(INT((W70)/256),256)/2^0),2)*1+MOD(INT(MOD(INT((AA70)/256),256)/2^1),2)*MOD(INT(MOD(INT((W70)/256),256)/2^1),2)*2+MOD(INT(MOD(INT((AA70)/256),256)/2^2),2)*MOD(INT(MOD(INT((W70)/256),256)/2^2),2)*4+MOD(INT(MOD(INT((AA70)/256),256)/2^3),2)*MOD(INT(MOD(INT((W70)/256),256)/2^3),2)*8+MOD(INT(MOD(INT((AA70)/256),256)/2^4),2)*MOD(INT(MOD(INT((W70)/256),256)/2^4),2)*16+MOD(INT(MOD(INT((AA70)/256),256)/2^5),2)*MOD(INT(MOD(INT((W70)/256),256)/2^5),2)*32+MOD(INT(MOD(INT((AA70)/256),256)/2^6),2)*MOD(INT(MOD(INT((W70)/256),256)/2^6),2)*64+MOD(INT(MOD(INT((AA70)/256),256)/2^7),2)*MOD(INT(MOD(INT((W70)/256),256)/2^7),2)*128)*256+(MOD(INT(MOD(INT((AA70)/65536),256)/2^0),2)*MOD(INT(MOD(INT((W70)/65536),256)/2^0),2)*1+MOD(INT(MOD(INT((AA70)/65536),256)/2^1),2)*MOD(INT(MOD(INT((W70)/65536),256)/2^1),2)*2+MOD(INT(MOD(INT((AA70)/65536),256)/2^2),2)*MOD(INT(MOD(INT((W70)/65536),256)/2^2),2)*4+MOD(INT(MOD(INT((AA70)/65536),256)/2^3),2)*MOD(INT(MOD(INT((W70)/65536),256)/2^3),2)*8+MOD(INT(MOD(INT((AA70)/65536),256)/2^4),2)*MOD(INT(MOD(INT((W70)/65536),256)/2^4),2)*16+MOD(INT(MOD(INT((AA70)/65536),256)/2^5),2)*MOD(INT(MOD(INT((W70)/65536),256)/2^5),2)*32+MOD(INT(MOD(INT((AA70)/65536),256)/2^6),2)*MOD(INT(MOD(INT((W70)/65536),256)/2^6),2)*64+MOD(INT(MOD(INT((AA70)/65536),256)/2^7),2)*MOD(INT(MOD(INT((W70)/65536),256)/2^7),2)*128)*65536+(MOD(INT(MOD(INT((AA70)/16777216),256)/2^0),2)*MOD(INT(MOD(INT((W70)/16777216),256)/2^0),2)*1+MOD(INT(MOD(INT((AA70)/16777216),256)/2^1),2)*MOD(INT(MOD(INT((W70)/16777216),256)/2^1),2)*2+MOD(INT(MOD(INT((AA70)/16777216),256)/2^2),2)*MOD(INT(MOD(INT((W70)/16777216),256)/2^2),2)*4+MOD(INT(MOD(INT((AA70)/16777216),256)/2^3),2)*MOD(INT(MOD(INT((W70)/16777216),256)/2^3),2)*8+MOD(INT(MOD(INT((AA70)/16777216),256)/2^4),2)*MOD(INT(MOD(INT((W70)/16777216),256)/2^4),2)*16+MOD(INT(MOD(INT((AA70)/16777216),256)/2^5),2)*MOD(INT(MOD(INT((W70)/16777216),256)/2^5),2)*32+MOD(INT(MOD(INT((AA70)/16777216),256)/2^6),2)*MOD(INT(MOD(INT((W70)/16777216),256)/2^6),2)*64+MOD(INT(MOD(INT((AA70)/16777216),256)/2^7),2)*MOD(INT(MOD(INT((W70)/16777216),256)/2^7),2)*128)*16777216)</f>
        <v>1126271556</v>
      </c>
      <c r="AD70" s="24">
        <f t="shared" ref="AD70:AD85" si="161">((MOD(INT(MOD(INT((AB70)/1),256)/2^0),2)*MOD(INT(MOD(INT((X70)/1),256)/2^0),2)*1+MOD(INT(MOD(INT((AB70)/1),256)/2^1),2)*MOD(INT(MOD(INT((X70)/1),256)/2^1),2)*2+MOD(INT(MOD(INT((AB70)/1),256)/2^2),2)*MOD(INT(MOD(INT((X70)/1),256)/2^2),2)*4+MOD(INT(MOD(INT((AB70)/1),256)/2^3),2)*MOD(INT(MOD(INT((X70)/1),256)/2^3),2)*8+MOD(INT(MOD(INT((AB70)/1),256)/2^4),2)*MOD(INT(MOD(INT((X70)/1),256)/2^4),2)*16+MOD(INT(MOD(INT((AB70)/1),256)/2^5),2)*MOD(INT(MOD(INT((X70)/1),256)/2^5),2)*32+MOD(INT(MOD(INT((AB70)/1),256)/2^6),2)*MOD(INT(MOD(INT((X70)/1),256)/2^6),2)*64+MOD(INT(MOD(INT((AB70)/1),256)/2^7),2)*MOD(INT(MOD(INT((X70)/1),256)/2^7),2)*128)*1+(MOD(INT(MOD(INT((AB70)/256),256)/2^0),2)*MOD(INT(MOD(INT((X70)/256),256)/2^0),2)*1+MOD(INT(MOD(INT((AB70)/256),256)/2^1),2)*MOD(INT(MOD(INT((X70)/256),256)/2^1),2)*2+MOD(INT(MOD(INT((AB70)/256),256)/2^2),2)*MOD(INT(MOD(INT((X70)/256),256)/2^2),2)*4+MOD(INT(MOD(INT((AB70)/256),256)/2^3),2)*MOD(INT(MOD(INT((X70)/256),256)/2^3),2)*8+MOD(INT(MOD(INT((AB70)/256),256)/2^4),2)*MOD(INT(MOD(INT((X70)/256),256)/2^4),2)*16+MOD(INT(MOD(INT((AB70)/256),256)/2^5),2)*MOD(INT(MOD(INT((X70)/256),256)/2^5),2)*32+MOD(INT(MOD(INT((AB70)/256),256)/2^6),2)*MOD(INT(MOD(INT((X70)/256),256)/2^6),2)*64+MOD(INT(MOD(INT((AB70)/256),256)/2^7),2)*MOD(INT(MOD(INT((X70)/256),256)/2^7),2)*128)*256+(MOD(INT(MOD(INT((AB70)/65536),256)/2^0),2)*MOD(INT(MOD(INT((X70)/65536),256)/2^0),2)*1+MOD(INT(MOD(INT((AB70)/65536),256)/2^1),2)*MOD(INT(MOD(INT((X70)/65536),256)/2^1),2)*2+MOD(INT(MOD(INT((AB70)/65536),256)/2^2),2)*MOD(INT(MOD(INT((X70)/65536),256)/2^2),2)*4+MOD(INT(MOD(INT((AB70)/65536),256)/2^3),2)*MOD(INT(MOD(INT((X70)/65536),256)/2^3),2)*8+MOD(INT(MOD(INT((AB70)/65536),256)/2^4),2)*MOD(INT(MOD(INT((X70)/65536),256)/2^4),2)*16+MOD(INT(MOD(INT((AB70)/65536),256)/2^5),2)*MOD(INT(MOD(INT((X70)/65536),256)/2^5),2)*32+MOD(INT(MOD(INT((AB70)/65536),256)/2^6),2)*MOD(INT(MOD(INT((X70)/65536),256)/2^6),2)*64+MOD(INT(MOD(INT((AB70)/65536),256)/2^7),2)*MOD(INT(MOD(INT((X70)/65536),256)/2^7),2)*128)*65536+(MOD(INT(MOD(INT((AB70)/16777216),256)/2^0),2)*MOD(INT(MOD(INT((X70)/16777216),256)/2^0),2)*1+MOD(INT(MOD(INT((AB70)/16777216),256)/2^1),2)*MOD(INT(MOD(INT((X70)/16777216),256)/2^1),2)*2+MOD(INT(MOD(INT((AB70)/16777216),256)/2^2),2)*MOD(INT(MOD(INT((X70)/16777216),256)/2^2),2)*4+MOD(INT(MOD(INT((AB70)/16777216),256)/2^3),2)*MOD(INT(MOD(INT((X70)/16777216),256)/2^3),2)*8+MOD(INT(MOD(INT((AB70)/16777216),256)/2^4),2)*MOD(INT(MOD(INT((X70)/16777216),256)/2^4),2)*16+MOD(INT(MOD(INT((AB70)/16777216),256)/2^5),2)*MOD(INT(MOD(INT((X70)/16777216),256)/2^5),2)*32+MOD(INT(MOD(INT((AB70)/16777216),256)/2^6),2)*MOD(INT(MOD(INT((X70)/16777216),256)/2^6),2)*64+MOD(INT(MOD(INT((AB70)/16777216),256)/2^7),2)*MOD(INT(MOD(INT((X70)/16777216),256)/2^7),2)*128)*16777216)</f>
        <v>141056560</v>
      </c>
      <c r="AE70" s="24">
        <f t="shared" ref="AE70:AE85" si="162">MOD(AA70+W70-2*AC70,4294967296)</f>
        <v>3087558058</v>
      </c>
      <c r="AF70" s="24">
        <f t="shared" ref="AF70:AF85" si="163">MOD(AB70+X70-2*AD70,4294967296)</f>
        <v>2543231375</v>
      </c>
      <c r="AG70" s="24">
        <f t="shared" ref="AG70:AG85" si="164">MOD(INT(C69/2^28)+MOD(D69,2^28)*2^4,4294967296)</f>
        <v>1491437635</v>
      </c>
      <c r="AH70" s="24">
        <f t="shared" ref="AH70:AH85" si="165">MOD(INT(D69/2^28)+MOD(C69,2^28)*2^4,4294967296)</f>
        <v>604293022</v>
      </c>
      <c r="AI70" s="24">
        <f t="shared" ref="AI70:AI85" si="166">MOD(INT(D69/2^2)+MOD(C69,2^2)*2^30,4294967296)</f>
        <v>2036569633</v>
      </c>
      <c r="AJ70" s="24">
        <f t="shared" ref="AJ70:AJ85" si="167">MOD(INT(C69/2^2)+MOD(D69,2^2)*2^30,4294967296)</f>
        <v>210768670</v>
      </c>
      <c r="AK70" s="24">
        <f t="shared" ref="AK70:AK85" si="168">MOD(INT(D69/2^7)+MOD(C69,2^7)*2^25,4294967296)</f>
        <v>4090174641</v>
      </c>
      <c r="AL70" s="24">
        <f t="shared" ref="AL70:AL85" si="169">MOD(INT(C69/2^7)+MOD(D69,2^7)*2^25,4294967296)</f>
        <v>140804248</v>
      </c>
      <c r="AM70" s="24">
        <f t="shared" ref="AM70:AM85" si="170">((MOD(INT(MOD(INT((AG70)/1),256)/2^0),2)*MOD(INT(MOD(INT((AI70)/1),256)/2^0),2)*1+MOD(INT(MOD(INT((AG70)/1),256)/2^1),2)*MOD(INT(MOD(INT((AI70)/1),256)/2^1),2)*2+MOD(INT(MOD(INT((AG70)/1),256)/2^2),2)*MOD(INT(MOD(INT((AI70)/1),256)/2^2),2)*4+MOD(INT(MOD(INT((AG70)/1),256)/2^3),2)*MOD(INT(MOD(INT((AI70)/1),256)/2^3),2)*8+MOD(INT(MOD(INT((AG70)/1),256)/2^4),2)*MOD(INT(MOD(INT((AI70)/1),256)/2^4),2)*16+MOD(INT(MOD(INT((AG70)/1),256)/2^5),2)*MOD(INT(MOD(INT((AI70)/1),256)/2^5),2)*32+MOD(INT(MOD(INT((AG70)/1),256)/2^6),2)*MOD(INT(MOD(INT((AI70)/1),256)/2^6),2)*64+MOD(INT(MOD(INT((AG70)/1),256)/2^7),2)*MOD(INT(MOD(INT((AI70)/1),256)/2^7),2)*128)*1+(MOD(INT(MOD(INT((AG70)/256),256)/2^0),2)*MOD(INT(MOD(INT((AI70)/256),256)/2^0),2)*1+MOD(INT(MOD(INT((AG70)/256),256)/2^1),2)*MOD(INT(MOD(INT((AI70)/256),256)/2^1),2)*2+MOD(INT(MOD(INT((AG70)/256),256)/2^2),2)*MOD(INT(MOD(INT((AI70)/256),256)/2^2),2)*4+MOD(INT(MOD(INT((AG70)/256),256)/2^3),2)*MOD(INT(MOD(INT((AI70)/256),256)/2^3),2)*8+MOD(INT(MOD(INT((AG70)/256),256)/2^4),2)*MOD(INT(MOD(INT((AI70)/256),256)/2^4),2)*16+MOD(INT(MOD(INT((AG70)/256),256)/2^5),2)*MOD(INT(MOD(INT((AI70)/256),256)/2^5),2)*32+MOD(INT(MOD(INT((AG70)/256),256)/2^6),2)*MOD(INT(MOD(INT((AI70)/256),256)/2^6),2)*64+MOD(INT(MOD(INT((AG70)/256),256)/2^7),2)*MOD(INT(MOD(INT((AI70)/256),256)/2^7),2)*128)*256+(MOD(INT(MOD(INT((AG70)/65536),256)/2^0),2)*MOD(INT(MOD(INT((AI70)/65536),256)/2^0),2)*1+MOD(INT(MOD(INT((AG70)/65536),256)/2^1),2)*MOD(INT(MOD(INT((AI70)/65536),256)/2^1),2)*2+MOD(INT(MOD(INT((AG70)/65536),256)/2^2),2)*MOD(INT(MOD(INT((AI70)/65536),256)/2^2),2)*4+MOD(INT(MOD(INT((AG70)/65536),256)/2^3),2)*MOD(INT(MOD(INT((AI70)/65536),256)/2^3),2)*8+MOD(INT(MOD(INT((AG70)/65536),256)/2^4),2)*MOD(INT(MOD(INT((AI70)/65536),256)/2^4),2)*16+MOD(INT(MOD(INT((AG70)/65536),256)/2^5),2)*MOD(INT(MOD(INT((AI70)/65536),256)/2^5),2)*32+MOD(INT(MOD(INT((AG70)/65536),256)/2^6),2)*MOD(INT(MOD(INT((AI70)/65536),256)/2^6),2)*64+MOD(INT(MOD(INT((AG70)/65536),256)/2^7),2)*MOD(INT(MOD(INT((AI70)/65536),256)/2^7),2)*128)*65536+(MOD(INT(MOD(INT((AG70)/16777216),256)/2^0),2)*MOD(INT(MOD(INT((AI70)/16777216),256)/2^0),2)*1+MOD(INT(MOD(INT((AG70)/16777216),256)/2^1),2)*MOD(INT(MOD(INT((AI70)/16777216),256)/2^1),2)*2+MOD(INT(MOD(INT((AG70)/16777216),256)/2^2),2)*MOD(INT(MOD(INT((AI70)/16777216),256)/2^2),2)*4+MOD(INT(MOD(INT((AG70)/16777216),256)/2^3),2)*MOD(INT(MOD(INT((AI70)/16777216),256)/2^3),2)*8+MOD(INT(MOD(INT((AG70)/16777216),256)/2^4),2)*MOD(INT(MOD(INT((AI70)/16777216),256)/2^4),2)*16+MOD(INT(MOD(INT((AG70)/16777216),256)/2^5),2)*MOD(INT(MOD(INT((AI70)/16777216),256)/2^5),2)*32+MOD(INT(MOD(INT((AG70)/16777216),256)/2^6),2)*MOD(INT(MOD(INT((AI70)/16777216),256)/2^6),2)*64+MOD(INT(MOD(INT((AG70)/16777216),256)/2^7),2)*MOD(INT(MOD(INT((AI70)/16777216),256)/2^7),2)*128)*16777216)</f>
        <v>1482784769</v>
      </c>
      <c r="AN70" s="24">
        <f t="shared" ref="AN70:AN85" si="171">((MOD(INT(MOD(INT((AH70)/1),256)/2^0),2)*MOD(INT(MOD(INT((AJ70)/1),256)/2^0),2)*1+MOD(INT(MOD(INT((AH70)/1),256)/2^1),2)*MOD(INT(MOD(INT((AJ70)/1),256)/2^1),2)*2+MOD(INT(MOD(INT((AH70)/1),256)/2^2),2)*MOD(INT(MOD(INT((AJ70)/1),256)/2^2),2)*4+MOD(INT(MOD(INT((AH70)/1),256)/2^3),2)*MOD(INT(MOD(INT((AJ70)/1),256)/2^3),2)*8+MOD(INT(MOD(INT((AH70)/1),256)/2^4),2)*MOD(INT(MOD(INT((AJ70)/1),256)/2^4),2)*16+MOD(INT(MOD(INT((AH70)/1),256)/2^5),2)*MOD(INT(MOD(INT((AJ70)/1),256)/2^5),2)*32+MOD(INT(MOD(INT((AH70)/1),256)/2^6),2)*MOD(INT(MOD(INT((AJ70)/1),256)/2^6),2)*64+MOD(INT(MOD(INT((AH70)/1),256)/2^7),2)*MOD(INT(MOD(INT((AJ70)/1),256)/2^7),2)*128)*1+(MOD(INT(MOD(INT((AH70)/256),256)/2^0),2)*MOD(INT(MOD(INT((AJ70)/256),256)/2^0),2)*1+MOD(INT(MOD(INT((AH70)/256),256)/2^1),2)*MOD(INT(MOD(INT((AJ70)/256),256)/2^1),2)*2+MOD(INT(MOD(INT((AH70)/256),256)/2^2),2)*MOD(INT(MOD(INT((AJ70)/256),256)/2^2),2)*4+MOD(INT(MOD(INT((AH70)/256),256)/2^3),2)*MOD(INT(MOD(INT((AJ70)/256),256)/2^3),2)*8+MOD(INT(MOD(INT((AH70)/256),256)/2^4),2)*MOD(INT(MOD(INT((AJ70)/256),256)/2^4),2)*16+MOD(INT(MOD(INT((AH70)/256),256)/2^5),2)*MOD(INT(MOD(INT((AJ70)/256),256)/2^5),2)*32+MOD(INT(MOD(INT((AH70)/256),256)/2^6),2)*MOD(INT(MOD(INT((AJ70)/256),256)/2^6),2)*64+MOD(INT(MOD(INT((AH70)/256),256)/2^7),2)*MOD(INT(MOD(INT((AJ70)/256),256)/2^7),2)*128)*256+(MOD(INT(MOD(INT((AH70)/65536),256)/2^0),2)*MOD(INT(MOD(INT((AJ70)/65536),256)/2^0),2)*1+MOD(INT(MOD(INT((AH70)/65536),256)/2^1),2)*MOD(INT(MOD(INT((AJ70)/65536),256)/2^1),2)*2+MOD(INT(MOD(INT((AH70)/65536),256)/2^2),2)*MOD(INT(MOD(INT((AJ70)/65536),256)/2^2),2)*4+MOD(INT(MOD(INT((AH70)/65536),256)/2^3),2)*MOD(INT(MOD(INT((AJ70)/65536),256)/2^3),2)*8+MOD(INT(MOD(INT((AH70)/65536),256)/2^4),2)*MOD(INT(MOD(INT((AJ70)/65536),256)/2^4),2)*16+MOD(INT(MOD(INT((AH70)/65536),256)/2^5),2)*MOD(INT(MOD(INT((AJ70)/65536),256)/2^5),2)*32+MOD(INT(MOD(INT((AH70)/65536),256)/2^6),2)*MOD(INT(MOD(INT((AJ70)/65536),256)/2^6),2)*64+MOD(INT(MOD(INT((AH70)/65536),256)/2^7),2)*MOD(INT(MOD(INT((AJ70)/65536),256)/2^7),2)*128)*65536+(MOD(INT(MOD(INT((AH70)/16777216),256)/2^0),2)*MOD(INT(MOD(INT((AJ70)/16777216),256)/2^0),2)*1+MOD(INT(MOD(INT((AH70)/16777216),256)/2^1),2)*MOD(INT(MOD(INT((AJ70)/16777216),256)/2^1),2)*2+MOD(INT(MOD(INT((AH70)/16777216),256)/2^2),2)*MOD(INT(MOD(INT((AJ70)/16777216),256)/2^2),2)*4+MOD(INT(MOD(INT((AH70)/16777216),256)/2^3),2)*MOD(INT(MOD(INT((AJ70)/16777216),256)/2^3),2)*8+MOD(INT(MOD(INT((AH70)/16777216),256)/2^4),2)*MOD(INT(MOD(INT((AJ70)/16777216),256)/2^4),2)*16+MOD(INT(MOD(INT((AH70)/16777216),256)/2^5),2)*MOD(INT(MOD(INT((AJ70)/16777216),256)/2^5),2)*32+MOD(INT(MOD(INT((AH70)/16777216),256)/2^6),2)*MOD(INT(MOD(INT((AJ70)/16777216),256)/2^6),2)*64+MOD(INT(MOD(INT((AH70)/16777216),256)/2^7),2)*MOD(INT(MOD(INT((AJ70)/16777216),256)/2^7),2)*128)*16777216)</f>
        <v>67109662</v>
      </c>
      <c r="AO70" s="24">
        <f t="shared" ref="AO70:AO85" si="172">MOD(AG70+AI70-2*AM70,4294967296)</f>
        <v>562437730</v>
      </c>
      <c r="AP70" s="24">
        <f t="shared" ref="AP70:AP85" si="173">MOD(AH70+AJ70-2*AN70,4294967296)</f>
        <v>680842368</v>
      </c>
      <c r="AQ70" s="24">
        <f t="shared" ref="AQ70:AQ85" si="174">((MOD(INT(MOD(INT((AO70)/1),256)/2^0),2)*MOD(INT(MOD(INT((AK70)/1),256)/2^0),2)*1+MOD(INT(MOD(INT((AO70)/1),256)/2^1),2)*MOD(INT(MOD(INT((AK70)/1),256)/2^1),2)*2+MOD(INT(MOD(INT((AO70)/1),256)/2^2),2)*MOD(INT(MOD(INT((AK70)/1),256)/2^2),2)*4+MOD(INT(MOD(INT((AO70)/1),256)/2^3),2)*MOD(INT(MOD(INT((AK70)/1),256)/2^3),2)*8+MOD(INT(MOD(INT((AO70)/1),256)/2^4),2)*MOD(INT(MOD(INT((AK70)/1),256)/2^4),2)*16+MOD(INT(MOD(INT((AO70)/1),256)/2^5),2)*MOD(INT(MOD(INT((AK70)/1),256)/2^5),2)*32+MOD(INT(MOD(INT((AO70)/1),256)/2^6),2)*MOD(INT(MOD(INT((AK70)/1),256)/2^6),2)*64+MOD(INT(MOD(INT((AO70)/1),256)/2^7),2)*MOD(INT(MOD(INT((AK70)/1),256)/2^7),2)*128)*1+(MOD(INT(MOD(INT((AO70)/256),256)/2^0),2)*MOD(INT(MOD(INT((AK70)/256),256)/2^0),2)*1+MOD(INT(MOD(INT((AO70)/256),256)/2^1),2)*MOD(INT(MOD(INT((AK70)/256),256)/2^1),2)*2+MOD(INT(MOD(INT((AO70)/256),256)/2^2),2)*MOD(INT(MOD(INT((AK70)/256),256)/2^2),2)*4+MOD(INT(MOD(INT((AO70)/256),256)/2^3),2)*MOD(INT(MOD(INT((AK70)/256),256)/2^3),2)*8+MOD(INT(MOD(INT((AO70)/256),256)/2^4),2)*MOD(INT(MOD(INT((AK70)/256),256)/2^4),2)*16+MOD(INT(MOD(INT((AO70)/256),256)/2^5),2)*MOD(INT(MOD(INT((AK70)/256),256)/2^5),2)*32+MOD(INT(MOD(INT((AO70)/256),256)/2^6),2)*MOD(INT(MOD(INT((AK70)/256),256)/2^6),2)*64+MOD(INT(MOD(INT((AO70)/256),256)/2^7),2)*MOD(INT(MOD(INT((AK70)/256),256)/2^7),2)*128)*256+(MOD(INT(MOD(INT((AO70)/65536),256)/2^0),2)*MOD(INT(MOD(INT((AK70)/65536),256)/2^0),2)*1+MOD(INT(MOD(INT((AO70)/65536),256)/2^1),2)*MOD(INT(MOD(INT((AK70)/65536),256)/2^1),2)*2+MOD(INT(MOD(INT((AO70)/65536),256)/2^2),2)*MOD(INT(MOD(INT((AK70)/65536),256)/2^2),2)*4+MOD(INT(MOD(INT((AO70)/65536),256)/2^3),2)*MOD(INT(MOD(INT((AK70)/65536),256)/2^3),2)*8+MOD(INT(MOD(INT((AO70)/65536),256)/2^4),2)*MOD(INT(MOD(INT((AK70)/65536),256)/2^4),2)*16+MOD(INT(MOD(INT((AO70)/65536),256)/2^5),2)*MOD(INT(MOD(INT((AK70)/65536),256)/2^5),2)*32+MOD(INT(MOD(INT((AO70)/65536),256)/2^6),2)*MOD(INT(MOD(INT((AK70)/65536),256)/2^6),2)*64+MOD(INT(MOD(INT((AO70)/65536),256)/2^7),2)*MOD(INT(MOD(INT((AK70)/65536),256)/2^7),2)*128)*65536+(MOD(INT(MOD(INT((AO70)/16777216),256)/2^0),2)*MOD(INT(MOD(INT((AK70)/16777216),256)/2^0),2)*1+MOD(INT(MOD(INT((AO70)/16777216),256)/2^1),2)*MOD(INT(MOD(INT((AK70)/16777216),256)/2^1),2)*2+MOD(INT(MOD(INT((AO70)/16777216),256)/2^2),2)*MOD(INT(MOD(INT((AK70)/16777216),256)/2^2),2)*4+MOD(INT(MOD(INT((AO70)/16777216),256)/2^3),2)*MOD(INT(MOD(INT((AK70)/16777216),256)/2^3),2)*8+MOD(INT(MOD(INT((AO70)/16777216),256)/2^4),2)*MOD(INT(MOD(INT((AK70)/16777216),256)/2^4),2)*16+MOD(INT(MOD(INT((AO70)/16777216),256)/2^5),2)*MOD(INT(MOD(INT((AK70)/16777216),256)/2^5),2)*32+MOD(INT(MOD(INT((AO70)/16777216),256)/2^6),2)*MOD(INT(MOD(INT((AK70)/16777216),256)/2^6),2)*64+MOD(INT(MOD(INT((AO70)/16777216),256)/2^7),2)*MOD(INT(MOD(INT((AK70)/16777216),256)/2^7),2)*128)*16777216)</f>
        <v>562175008</v>
      </c>
      <c r="AR70" s="24">
        <f t="shared" ref="AR70:AR85" si="175">((MOD(INT(MOD(INT((AP70)/1),256)/2^0),2)*MOD(INT(MOD(INT((AL70)/1),256)/2^0),2)*1+MOD(INT(MOD(INT((AP70)/1),256)/2^1),2)*MOD(INT(MOD(INT((AL70)/1),256)/2^1),2)*2+MOD(INT(MOD(INT((AP70)/1),256)/2^2),2)*MOD(INT(MOD(INT((AL70)/1),256)/2^2),2)*4+MOD(INT(MOD(INT((AP70)/1),256)/2^3),2)*MOD(INT(MOD(INT((AL70)/1),256)/2^3),2)*8+MOD(INT(MOD(INT((AP70)/1),256)/2^4),2)*MOD(INT(MOD(INT((AL70)/1),256)/2^4),2)*16+MOD(INT(MOD(INT((AP70)/1),256)/2^5),2)*MOD(INT(MOD(INT((AL70)/1),256)/2^5),2)*32+MOD(INT(MOD(INT((AP70)/1),256)/2^6),2)*MOD(INT(MOD(INT((AL70)/1),256)/2^6),2)*64+MOD(INT(MOD(INT((AP70)/1),256)/2^7),2)*MOD(INT(MOD(INT((AL70)/1),256)/2^7),2)*128)*1+(MOD(INT(MOD(INT((AP70)/256),256)/2^0),2)*MOD(INT(MOD(INT((AL70)/256),256)/2^0),2)*1+MOD(INT(MOD(INT((AP70)/256),256)/2^1),2)*MOD(INT(MOD(INT((AL70)/256),256)/2^1),2)*2+MOD(INT(MOD(INT((AP70)/256),256)/2^2),2)*MOD(INT(MOD(INT((AL70)/256),256)/2^2),2)*4+MOD(INT(MOD(INT((AP70)/256),256)/2^3),2)*MOD(INT(MOD(INT((AL70)/256),256)/2^3),2)*8+MOD(INT(MOD(INT((AP70)/256),256)/2^4),2)*MOD(INT(MOD(INT((AL70)/256),256)/2^4),2)*16+MOD(INT(MOD(INT((AP70)/256),256)/2^5),2)*MOD(INT(MOD(INT((AL70)/256),256)/2^5),2)*32+MOD(INT(MOD(INT((AP70)/256),256)/2^6),2)*MOD(INT(MOD(INT((AL70)/256),256)/2^6),2)*64+MOD(INT(MOD(INT((AP70)/256),256)/2^7),2)*MOD(INT(MOD(INT((AL70)/256),256)/2^7),2)*128)*256+(MOD(INT(MOD(INT((AP70)/65536),256)/2^0),2)*MOD(INT(MOD(INT((AL70)/65536),256)/2^0),2)*1+MOD(INT(MOD(INT((AP70)/65536),256)/2^1),2)*MOD(INT(MOD(INT((AL70)/65536),256)/2^1),2)*2+MOD(INT(MOD(INT((AP70)/65536),256)/2^2),2)*MOD(INT(MOD(INT((AL70)/65536),256)/2^2),2)*4+MOD(INT(MOD(INT((AP70)/65536),256)/2^3),2)*MOD(INT(MOD(INT((AL70)/65536),256)/2^3),2)*8+MOD(INT(MOD(INT((AP70)/65536),256)/2^4),2)*MOD(INT(MOD(INT((AL70)/65536),256)/2^4),2)*16+MOD(INT(MOD(INT((AP70)/65536),256)/2^5),2)*MOD(INT(MOD(INT((AL70)/65536),256)/2^5),2)*32+MOD(INT(MOD(INT((AP70)/65536),256)/2^6),2)*MOD(INT(MOD(INT((AL70)/65536),256)/2^6),2)*64+MOD(INT(MOD(INT((AP70)/65536),256)/2^7),2)*MOD(INT(MOD(INT((AL70)/65536),256)/2^7),2)*128)*65536+(MOD(INT(MOD(INT((AP70)/16777216),256)/2^0),2)*MOD(INT(MOD(INT((AL70)/16777216),256)/2^0),2)*1+MOD(INT(MOD(INT((AP70)/16777216),256)/2^1),2)*MOD(INT(MOD(INT((AL70)/16777216),256)/2^1),2)*2+MOD(INT(MOD(INT((AP70)/16777216),256)/2^2),2)*MOD(INT(MOD(INT((AL70)/16777216),256)/2^2),2)*4+MOD(INT(MOD(INT((AP70)/16777216),256)/2^3),2)*MOD(INT(MOD(INT((AL70)/16777216),256)/2^3),2)*8+MOD(INT(MOD(INT((AP70)/16777216),256)/2^4),2)*MOD(INT(MOD(INT((AL70)/16777216),256)/2^4),2)*16+MOD(INT(MOD(INT((AP70)/16777216),256)/2^5),2)*MOD(INT(MOD(INT((AL70)/16777216),256)/2^5),2)*32+MOD(INT(MOD(INT((AP70)/16777216),256)/2^6),2)*MOD(INT(MOD(INT((AL70)/16777216),256)/2^6),2)*64+MOD(INT(MOD(INT((AP70)/16777216),256)/2^7),2)*MOD(INT(MOD(INT((AL70)/16777216),256)/2^7),2)*128)*16777216)</f>
        <v>134512768</v>
      </c>
      <c r="AS70" s="24">
        <f t="shared" ref="AS70:AS85" si="176">MOD(AO70+AK70-2*AQ70,4294967296)</f>
        <v>3528262355</v>
      </c>
      <c r="AT70" s="24">
        <f t="shared" ref="AT70:AT85" si="177">MOD(AP70+AL70-2*AR70,4294967296)</f>
        <v>552621080</v>
      </c>
      <c r="AU70" s="24">
        <f t="shared" ref="AU70:AU85" si="178">((MOD(INT(MOD(INT((K69)/1),256)/2^0),2)*MOD(INT(MOD(INT((M69)/1),256)/2^0),2)*1+MOD(INT(MOD(INT((K69)/1),256)/2^1),2)*MOD(INT(MOD(INT((M69)/1),256)/2^1),2)*2+MOD(INT(MOD(INT((K69)/1),256)/2^2),2)*MOD(INT(MOD(INT((M69)/1),256)/2^2),2)*4+MOD(INT(MOD(INT((K69)/1),256)/2^3),2)*MOD(INT(MOD(INT((M69)/1),256)/2^3),2)*8+MOD(INT(MOD(INT((K69)/1),256)/2^4),2)*MOD(INT(MOD(INT((M69)/1),256)/2^4),2)*16+MOD(INT(MOD(INT((K69)/1),256)/2^5),2)*MOD(INT(MOD(INT((M69)/1),256)/2^5),2)*32+MOD(INT(MOD(INT((K69)/1),256)/2^6),2)*MOD(INT(MOD(INT((M69)/1),256)/2^6),2)*64+MOD(INT(MOD(INT((K69)/1),256)/2^7),2)*MOD(INT(MOD(INT((M69)/1),256)/2^7),2)*128)*1+(MOD(INT(MOD(INT((K69)/256),256)/2^0),2)*MOD(INT(MOD(INT((M69)/256),256)/2^0),2)*1+MOD(INT(MOD(INT((K69)/256),256)/2^1),2)*MOD(INT(MOD(INT((M69)/256),256)/2^1),2)*2+MOD(INT(MOD(INT((K69)/256),256)/2^2),2)*MOD(INT(MOD(INT((M69)/256),256)/2^2),2)*4+MOD(INT(MOD(INT((K69)/256),256)/2^3),2)*MOD(INT(MOD(INT((M69)/256),256)/2^3),2)*8+MOD(INT(MOD(INT((K69)/256),256)/2^4),2)*MOD(INT(MOD(INT((M69)/256),256)/2^4),2)*16+MOD(INT(MOD(INT((K69)/256),256)/2^5),2)*MOD(INT(MOD(INT((M69)/256),256)/2^5),2)*32+MOD(INT(MOD(INT((K69)/256),256)/2^6),2)*MOD(INT(MOD(INT((M69)/256),256)/2^6),2)*64+MOD(INT(MOD(INT((K69)/256),256)/2^7),2)*MOD(INT(MOD(INT((M69)/256),256)/2^7),2)*128)*256+(MOD(INT(MOD(INT((K69)/65536),256)/2^0),2)*MOD(INT(MOD(INT((M69)/65536),256)/2^0),2)*1+MOD(INT(MOD(INT((K69)/65536),256)/2^1),2)*MOD(INT(MOD(INT((M69)/65536),256)/2^1),2)*2+MOD(INT(MOD(INT((K69)/65536),256)/2^2),2)*MOD(INT(MOD(INT((M69)/65536),256)/2^2),2)*4+MOD(INT(MOD(INT((K69)/65536),256)/2^3),2)*MOD(INT(MOD(INT((M69)/65536),256)/2^3),2)*8+MOD(INT(MOD(INT((K69)/65536),256)/2^4),2)*MOD(INT(MOD(INT((M69)/65536),256)/2^4),2)*16+MOD(INT(MOD(INT((K69)/65536),256)/2^5),2)*MOD(INT(MOD(INT((M69)/65536),256)/2^5),2)*32+MOD(INT(MOD(INT((K69)/65536),256)/2^6),2)*MOD(INT(MOD(INT((M69)/65536),256)/2^6),2)*64+MOD(INT(MOD(INT((K69)/65536),256)/2^7),2)*MOD(INT(MOD(INT((M69)/65536),256)/2^7),2)*128)*65536+(MOD(INT(MOD(INT((K69)/16777216),256)/2^0),2)*MOD(INT(MOD(INT((M69)/16777216),256)/2^0),2)*1+MOD(INT(MOD(INT((K69)/16777216),256)/2^1),2)*MOD(INT(MOD(INT((M69)/16777216),256)/2^1),2)*2+MOD(INT(MOD(INT((K69)/16777216),256)/2^2),2)*MOD(INT(MOD(INT((M69)/16777216),256)/2^2),2)*4+MOD(INT(MOD(INT((K69)/16777216),256)/2^3),2)*MOD(INT(MOD(INT((M69)/16777216),256)/2^3),2)*8+MOD(INT(MOD(INT((K69)/16777216),256)/2^4),2)*MOD(INT(MOD(INT((M69)/16777216),256)/2^4),2)*16+MOD(INT(MOD(INT((K69)/16777216),256)/2^5),2)*MOD(INT(MOD(INT((M69)/16777216),256)/2^5),2)*32+MOD(INT(MOD(INT((K69)/16777216),256)/2^6),2)*MOD(INT(MOD(INT((M69)/16777216),256)/2^6),2)*64+MOD(INT(MOD(INT((K69)/16777216),256)/2^7),2)*MOD(INT(MOD(INT((M69)/16777216),256)/2^7),2)*128)*16777216)</f>
        <v>619708486</v>
      </c>
      <c r="AV70" s="24">
        <f t="shared" ref="AV70:AV85" si="179">((MOD(INT(MOD(INT((L69)/1),256)/2^0),2)*MOD(INT(MOD(INT((N69)/1),256)/2^0),2)*1+MOD(INT(MOD(INT((L69)/1),256)/2^1),2)*MOD(INT(MOD(INT((N69)/1),256)/2^1),2)*2+MOD(INT(MOD(INT((L69)/1),256)/2^2),2)*MOD(INT(MOD(INT((N69)/1),256)/2^2),2)*4+MOD(INT(MOD(INT((L69)/1),256)/2^3),2)*MOD(INT(MOD(INT((N69)/1),256)/2^3),2)*8+MOD(INT(MOD(INT((L69)/1),256)/2^4),2)*MOD(INT(MOD(INT((N69)/1),256)/2^4),2)*16+MOD(INT(MOD(INT((L69)/1),256)/2^5),2)*MOD(INT(MOD(INT((N69)/1),256)/2^5),2)*32+MOD(INT(MOD(INT((L69)/1),256)/2^6),2)*MOD(INT(MOD(INT((N69)/1),256)/2^6),2)*64+MOD(INT(MOD(INT((L69)/1),256)/2^7),2)*MOD(INT(MOD(INT((N69)/1),256)/2^7),2)*128)*1+(MOD(INT(MOD(INT((L69)/256),256)/2^0),2)*MOD(INT(MOD(INT((N69)/256),256)/2^0),2)*1+MOD(INT(MOD(INT((L69)/256),256)/2^1),2)*MOD(INT(MOD(INT((N69)/256),256)/2^1),2)*2+MOD(INT(MOD(INT((L69)/256),256)/2^2),2)*MOD(INT(MOD(INT((N69)/256),256)/2^2),2)*4+MOD(INT(MOD(INT((L69)/256),256)/2^3),2)*MOD(INT(MOD(INT((N69)/256),256)/2^3),2)*8+MOD(INT(MOD(INT((L69)/256),256)/2^4),2)*MOD(INT(MOD(INT((N69)/256),256)/2^4),2)*16+MOD(INT(MOD(INT((L69)/256),256)/2^5),2)*MOD(INT(MOD(INT((N69)/256),256)/2^5),2)*32+MOD(INT(MOD(INT((L69)/256),256)/2^6),2)*MOD(INT(MOD(INT((N69)/256),256)/2^6),2)*64+MOD(INT(MOD(INT((L69)/256),256)/2^7),2)*MOD(INT(MOD(INT((N69)/256),256)/2^7),2)*128)*256+(MOD(INT(MOD(INT((L69)/65536),256)/2^0),2)*MOD(INT(MOD(INT((N69)/65536),256)/2^0),2)*1+MOD(INT(MOD(INT((L69)/65536),256)/2^1),2)*MOD(INT(MOD(INT((N69)/65536),256)/2^1),2)*2+MOD(INT(MOD(INT((L69)/65536),256)/2^2),2)*MOD(INT(MOD(INT((N69)/65536),256)/2^2),2)*4+MOD(INT(MOD(INT((L69)/65536),256)/2^3),2)*MOD(INT(MOD(INT((N69)/65536),256)/2^3),2)*8+MOD(INT(MOD(INT((L69)/65536),256)/2^4),2)*MOD(INT(MOD(INT((N69)/65536),256)/2^4),2)*16+MOD(INT(MOD(INT((L69)/65536),256)/2^5),2)*MOD(INT(MOD(INT((N69)/65536),256)/2^5),2)*32+MOD(INT(MOD(INT((L69)/65536),256)/2^6),2)*MOD(INT(MOD(INT((N69)/65536),256)/2^6),2)*64+MOD(INT(MOD(INT((L69)/65536),256)/2^7),2)*MOD(INT(MOD(INT((N69)/65536),256)/2^7),2)*128)*65536+(MOD(INT(MOD(INT((L69)/16777216),256)/2^0),2)*MOD(INT(MOD(INT((N69)/16777216),256)/2^0),2)*1+MOD(INT(MOD(INT((L69)/16777216),256)/2^1),2)*MOD(INT(MOD(INT((N69)/16777216),256)/2^1),2)*2+MOD(INT(MOD(INT((L69)/16777216),256)/2^2),2)*MOD(INT(MOD(INT((N69)/16777216),256)/2^2),2)*4+MOD(INT(MOD(INT((L69)/16777216),256)/2^3),2)*MOD(INT(MOD(INT((N69)/16777216),256)/2^3),2)*8+MOD(INT(MOD(INT((L69)/16777216),256)/2^4),2)*MOD(INT(MOD(INT((N69)/16777216),256)/2^4),2)*16+MOD(INT(MOD(INT((L69)/16777216),256)/2^5),2)*MOD(INT(MOD(INT((N69)/16777216),256)/2^5),2)*32+MOD(INT(MOD(INT((L69)/16777216),256)/2^6),2)*MOD(INT(MOD(INT((N69)/16777216),256)/2^6),2)*64+MOD(INT(MOD(INT((L69)/16777216),256)/2^7),2)*MOD(INT(MOD(INT((N69)/16777216),256)/2^7),2)*128)*16777216)</f>
        <v>310509585</v>
      </c>
      <c r="AW70" s="24">
        <f t="shared" ref="AW70:AW85" si="180">((MOD(INT(MOD(INT(((4294967295-K69))/1),256)/2^0),2)*MOD(INT(MOD(INT((O69)/1),256)/2^0),2)*1+MOD(INT(MOD(INT(((4294967295-K69))/1),256)/2^1),2)*MOD(INT(MOD(INT((O69)/1),256)/2^1),2)*2+MOD(INT(MOD(INT(((4294967295-K69))/1),256)/2^2),2)*MOD(INT(MOD(INT((O69)/1),256)/2^2),2)*4+MOD(INT(MOD(INT(((4294967295-K69))/1),256)/2^3),2)*MOD(INT(MOD(INT((O69)/1),256)/2^3),2)*8+MOD(INT(MOD(INT(((4294967295-K69))/1),256)/2^4),2)*MOD(INT(MOD(INT((O69)/1),256)/2^4),2)*16+MOD(INT(MOD(INT(((4294967295-K69))/1),256)/2^5),2)*MOD(INT(MOD(INT((O69)/1),256)/2^5),2)*32+MOD(INT(MOD(INT(((4294967295-K69))/1),256)/2^6),2)*MOD(INT(MOD(INT((O69)/1),256)/2^6),2)*64+MOD(INT(MOD(INT(((4294967295-K69))/1),256)/2^7),2)*MOD(INT(MOD(INT((O69)/1),256)/2^7),2)*128)*1+(MOD(INT(MOD(INT(((4294967295-K69))/256),256)/2^0),2)*MOD(INT(MOD(INT((O69)/256),256)/2^0),2)*1+MOD(INT(MOD(INT(((4294967295-K69))/256),256)/2^1),2)*MOD(INT(MOD(INT((O69)/256),256)/2^1),2)*2+MOD(INT(MOD(INT(((4294967295-K69))/256),256)/2^2),2)*MOD(INT(MOD(INT((O69)/256),256)/2^2),2)*4+MOD(INT(MOD(INT(((4294967295-K69))/256),256)/2^3),2)*MOD(INT(MOD(INT((O69)/256),256)/2^3),2)*8+MOD(INT(MOD(INT(((4294967295-K69))/256),256)/2^4),2)*MOD(INT(MOD(INT((O69)/256),256)/2^4),2)*16+MOD(INT(MOD(INT(((4294967295-K69))/256),256)/2^5),2)*MOD(INT(MOD(INT((O69)/256),256)/2^5),2)*32+MOD(INT(MOD(INT(((4294967295-K69))/256),256)/2^6),2)*MOD(INT(MOD(INT((O69)/256),256)/2^6),2)*64+MOD(INT(MOD(INT(((4294967295-K69))/256),256)/2^7),2)*MOD(INT(MOD(INT((O69)/256),256)/2^7),2)*128)*256+(MOD(INT(MOD(INT(((4294967295-K69))/65536),256)/2^0),2)*MOD(INT(MOD(INT((O69)/65536),256)/2^0),2)*1+MOD(INT(MOD(INT(((4294967295-K69))/65536),256)/2^1),2)*MOD(INT(MOD(INT((O69)/65536),256)/2^1),2)*2+MOD(INT(MOD(INT(((4294967295-K69))/65536),256)/2^2),2)*MOD(INT(MOD(INT((O69)/65536),256)/2^2),2)*4+MOD(INT(MOD(INT(((4294967295-K69))/65536),256)/2^3),2)*MOD(INT(MOD(INT((O69)/65536),256)/2^3),2)*8+MOD(INT(MOD(INT(((4294967295-K69))/65536),256)/2^4),2)*MOD(INT(MOD(INT((O69)/65536),256)/2^4),2)*16+MOD(INT(MOD(INT(((4294967295-K69))/65536),256)/2^5),2)*MOD(INT(MOD(INT((O69)/65536),256)/2^5),2)*32+MOD(INT(MOD(INT(((4294967295-K69))/65536),256)/2^6),2)*MOD(INT(MOD(INT((O69)/65536),256)/2^6),2)*64+MOD(INT(MOD(INT(((4294967295-K69))/65536),256)/2^7),2)*MOD(INT(MOD(INT((O69)/65536),256)/2^7),2)*128)*65536+(MOD(INT(MOD(INT(((4294967295-K69))/16777216),256)/2^0),2)*MOD(INT(MOD(INT((O69)/16777216),256)/2^0),2)*1+MOD(INT(MOD(INT(((4294967295-K69))/16777216),256)/2^1),2)*MOD(INT(MOD(INT((O69)/16777216),256)/2^1),2)*2+MOD(INT(MOD(INT(((4294967295-K69))/16777216),256)/2^2),2)*MOD(INT(MOD(INT((O69)/16777216),256)/2^2),2)*4+MOD(INT(MOD(INT(((4294967295-K69))/16777216),256)/2^3),2)*MOD(INT(MOD(INT((O69)/16777216),256)/2^3),2)*8+MOD(INT(MOD(INT(((4294967295-K69))/16777216),256)/2^4),2)*MOD(INT(MOD(INT((O69)/16777216),256)/2^4),2)*16+MOD(INT(MOD(INT(((4294967295-K69))/16777216),256)/2^5),2)*MOD(INT(MOD(INT((O69)/16777216),256)/2^5),2)*32+MOD(INT(MOD(INT(((4294967295-K69))/16777216),256)/2^6),2)*MOD(INT(MOD(INT((O69)/16777216),256)/2^6),2)*64+MOD(INT(MOD(INT(((4294967295-K69))/16777216),256)/2^7),2)*MOD(INT(MOD(INT((O69)/16777216),256)/2^7),2)*128)*16777216)</f>
        <v>34112289</v>
      </c>
      <c r="AX70" s="24">
        <f t="shared" ref="AX70:AX85" si="181">((MOD(INT(MOD(INT(((4294967295-L69))/1),256)/2^0),2)*MOD(INT(MOD(INT((P69)/1),256)/2^0),2)*1+MOD(INT(MOD(INT(((4294967295-L69))/1),256)/2^1),2)*MOD(INT(MOD(INT((P69)/1),256)/2^1),2)*2+MOD(INT(MOD(INT(((4294967295-L69))/1),256)/2^2),2)*MOD(INT(MOD(INT((P69)/1),256)/2^2),2)*4+MOD(INT(MOD(INT(((4294967295-L69))/1),256)/2^3),2)*MOD(INT(MOD(INT((P69)/1),256)/2^3),2)*8+MOD(INT(MOD(INT(((4294967295-L69))/1),256)/2^4),2)*MOD(INT(MOD(INT((P69)/1),256)/2^4),2)*16+MOD(INT(MOD(INT(((4294967295-L69))/1),256)/2^5),2)*MOD(INT(MOD(INT((P69)/1),256)/2^5),2)*32+MOD(INT(MOD(INT(((4294967295-L69))/1),256)/2^6),2)*MOD(INT(MOD(INT((P69)/1),256)/2^6),2)*64+MOD(INT(MOD(INT(((4294967295-L69))/1),256)/2^7),2)*MOD(INT(MOD(INT((P69)/1),256)/2^7),2)*128)*1+(MOD(INT(MOD(INT(((4294967295-L69))/256),256)/2^0),2)*MOD(INT(MOD(INT((P69)/256),256)/2^0),2)*1+MOD(INT(MOD(INT(((4294967295-L69))/256),256)/2^1),2)*MOD(INT(MOD(INT((P69)/256),256)/2^1),2)*2+MOD(INT(MOD(INT(((4294967295-L69))/256),256)/2^2),2)*MOD(INT(MOD(INT((P69)/256),256)/2^2),2)*4+MOD(INT(MOD(INT(((4294967295-L69))/256),256)/2^3),2)*MOD(INT(MOD(INT((P69)/256),256)/2^3),2)*8+MOD(INT(MOD(INT(((4294967295-L69))/256),256)/2^4),2)*MOD(INT(MOD(INT((P69)/256),256)/2^4),2)*16+MOD(INT(MOD(INT(((4294967295-L69))/256),256)/2^5),2)*MOD(INT(MOD(INT((P69)/256),256)/2^5),2)*32+MOD(INT(MOD(INT(((4294967295-L69))/256),256)/2^6),2)*MOD(INT(MOD(INT((P69)/256),256)/2^6),2)*64+MOD(INT(MOD(INT(((4294967295-L69))/256),256)/2^7),2)*MOD(INT(MOD(INT((P69)/256),256)/2^7),2)*128)*256+(MOD(INT(MOD(INT(((4294967295-L69))/65536),256)/2^0),2)*MOD(INT(MOD(INT((P69)/65536),256)/2^0),2)*1+MOD(INT(MOD(INT(((4294967295-L69))/65536),256)/2^1),2)*MOD(INT(MOD(INT((P69)/65536),256)/2^1),2)*2+MOD(INT(MOD(INT(((4294967295-L69))/65536),256)/2^2),2)*MOD(INT(MOD(INT((P69)/65536),256)/2^2),2)*4+MOD(INT(MOD(INT(((4294967295-L69))/65536),256)/2^3),2)*MOD(INT(MOD(INT((P69)/65536),256)/2^3),2)*8+MOD(INT(MOD(INT(((4294967295-L69))/65536),256)/2^4),2)*MOD(INT(MOD(INT((P69)/65536),256)/2^4),2)*16+MOD(INT(MOD(INT(((4294967295-L69))/65536),256)/2^5),2)*MOD(INT(MOD(INT((P69)/65536),256)/2^5),2)*32+MOD(INT(MOD(INT(((4294967295-L69))/65536),256)/2^6),2)*MOD(INT(MOD(INT((P69)/65536),256)/2^6),2)*64+MOD(INT(MOD(INT(((4294967295-L69))/65536),256)/2^7),2)*MOD(INT(MOD(INT((P69)/65536),256)/2^7),2)*128)*65536+(MOD(INT(MOD(INT(((4294967295-L69))/16777216),256)/2^0),2)*MOD(INT(MOD(INT((P69)/16777216),256)/2^0),2)*1+MOD(INT(MOD(INT(((4294967295-L69))/16777216),256)/2^1),2)*MOD(INT(MOD(INT((P69)/16777216),256)/2^1),2)*2+MOD(INT(MOD(INT(((4294967295-L69))/16777216),256)/2^2),2)*MOD(INT(MOD(INT((P69)/16777216),256)/2^2),2)*4+MOD(INT(MOD(INT(((4294967295-L69))/16777216),256)/2^3),2)*MOD(INT(MOD(INT((P69)/16777216),256)/2^3),2)*8+MOD(INT(MOD(INT(((4294967295-L69))/16777216),256)/2^4),2)*MOD(INT(MOD(INT((P69)/16777216),256)/2^4),2)*16+MOD(INT(MOD(INT(((4294967295-L69))/16777216),256)/2^5),2)*MOD(INT(MOD(INT((P69)/16777216),256)/2^5),2)*32+MOD(INT(MOD(INT(((4294967295-L69))/16777216),256)/2^6),2)*MOD(INT(MOD(INT((P69)/16777216),256)/2^6),2)*64+MOD(INT(MOD(INT(((4294967295-L69))/16777216),256)/2^7),2)*MOD(INT(MOD(INT((P69)/16777216),256)/2^7),2)*128)*16777216)</f>
        <v>2758304454</v>
      </c>
      <c r="BA70" s="24">
        <f t="shared" ref="BA70:BA85" si="182">MOD(AU70+AW70,4294967296)</f>
        <v>653820775</v>
      </c>
      <c r="BB70" s="24">
        <f t="shared" ref="BB70:BB85" si="183">MOD(AV70+AX70,4294967296)</f>
        <v>3068814039</v>
      </c>
      <c r="BC70" s="24">
        <f t="shared" ref="BC70:BC85" si="184">((MOD(INT(MOD(INT((C69)/1),256)/2^0),2)*MOD(INT(MOD(INT((E69)/1),256)/2^0),2)*1+MOD(INT(MOD(INT((C69)/1),256)/2^1),2)*MOD(INT(MOD(INT((E69)/1),256)/2^1),2)*2+MOD(INT(MOD(INT((C69)/1),256)/2^2),2)*MOD(INT(MOD(INT((E69)/1),256)/2^2),2)*4+MOD(INT(MOD(INT((C69)/1),256)/2^3),2)*MOD(INT(MOD(INT((E69)/1),256)/2^3),2)*8+MOD(INT(MOD(INT((C69)/1),256)/2^4),2)*MOD(INT(MOD(INT((E69)/1),256)/2^4),2)*16+MOD(INT(MOD(INT((C69)/1),256)/2^5),2)*MOD(INT(MOD(INT((E69)/1),256)/2^5),2)*32+MOD(INT(MOD(INT((C69)/1),256)/2^6),2)*MOD(INT(MOD(INT((E69)/1),256)/2^6),2)*64+MOD(INT(MOD(INT((C69)/1),256)/2^7),2)*MOD(INT(MOD(INT((E69)/1),256)/2^7),2)*128)*1+(MOD(INT(MOD(INT((C69)/256),256)/2^0),2)*MOD(INT(MOD(INT((E69)/256),256)/2^0),2)*1+MOD(INT(MOD(INT((C69)/256),256)/2^1),2)*MOD(INT(MOD(INT((E69)/256),256)/2^1),2)*2+MOD(INT(MOD(INT((C69)/256),256)/2^2),2)*MOD(INT(MOD(INT((E69)/256),256)/2^2),2)*4+MOD(INT(MOD(INT((C69)/256),256)/2^3),2)*MOD(INT(MOD(INT((E69)/256),256)/2^3),2)*8+MOD(INT(MOD(INT((C69)/256),256)/2^4),2)*MOD(INT(MOD(INT((E69)/256),256)/2^4),2)*16+MOD(INT(MOD(INT((C69)/256),256)/2^5),2)*MOD(INT(MOD(INT((E69)/256),256)/2^5),2)*32+MOD(INT(MOD(INT((C69)/256),256)/2^6),2)*MOD(INT(MOD(INT((E69)/256),256)/2^6),2)*64+MOD(INT(MOD(INT((C69)/256),256)/2^7),2)*MOD(INT(MOD(INT((E69)/256),256)/2^7),2)*128)*256+(MOD(INT(MOD(INT((C69)/65536),256)/2^0),2)*MOD(INT(MOD(INT((E69)/65536),256)/2^0),2)*1+MOD(INT(MOD(INT((C69)/65536),256)/2^1),2)*MOD(INT(MOD(INT((E69)/65536),256)/2^1),2)*2+MOD(INT(MOD(INT((C69)/65536),256)/2^2),2)*MOD(INT(MOD(INT((E69)/65536),256)/2^2),2)*4+MOD(INT(MOD(INT((C69)/65536),256)/2^3),2)*MOD(INT(MOD(INT((E69)/65536),256)/2^3),2)*8+MOD(INT(MOD(INT((C69)/65536),256)/2^4),2)*MOD(INT(MOD(INT((E69)/65536),256)/2^4),2)*16+MOD(INT(MOD(INT((C69)/65536),256)/2^5),2)*MOD(INT(MOD(INT((E69)/65536),256)/2^5),2)*32+MOD(INT(MOD(INT((C69)/65536),256)/2^6),2)*MOD(INT(MOD(INT((E69)/65536),256)/2^6),2)*64+MOD(INT(MOD(INT((C69)/65536),256)/2^7),2)*MOD(INT(MOD(INT((E69)/65536),256)/2^7),2)*128)*65536+(MOD(INT(MOD(INT((C69)/16777216),256)/2^0),2)*MOD(INT(MOD(INT((E69)/16777216),256)/2^0),2)*1+MOD(INT(MOD(INT((C69)/16777216),256)/2^1),2)*MOD(INT(MOD(INT((E69)/16777216),256)/2^1),2)*2+MOD(INT(MOD(INT((C69)/16777216),256)/2^2),2)*MOD(INT(MOD(INT((E69)/16777216),256)/2^2),2)*4+MOD(INT(MOD(INT((C69)/16777216),256)/2^3),2)*MOD(INT(MOD(INT((E69)/16777216),256)/2^3),2)*8+MOD(INT(MOD(INT((C69)/16777216),256)/2^4),2)*MOD(INT(MOD(INT((E69)/16777216),256)/2^4),2)*16+MOD(INT(MOD(INT((C69)/16777216),256)/2^5),2)*MOD(INT(MOD(INT((E69)/16777216),256)/2^5),2)*32+MOD(INT(MOD(INT((C69)/16777216),256)/2^6),2)*MOD(INT(MOD(INT((E69)/16777216),256)/2^6),2)*64+MOD(INT(MOD(INT((C69)/16777216),256)/2^7),2)*MOD(INT(MOD(INT((E69)/16777216),256)/2^7),2)*128)*16777216)</f>
        <v>33570904</v>
      </c>
      <c r="BD70" s="24">
        <f t="shared" ref="BD70:BD85" si="185">((MOD(INT(MOD(INT((D69)/1),256)/2^0),2)*MOD(INT(MOD(INT((F69)/1),256)/2^0),2)*1+MOD(INT(MOD(INT((D69)/1),256)/2^1),2)*MOD(INT(MOD(INT((F69)/1),256)/2^1),2)*2+MOD(INT(MOD(INT((D69)/1),256)/2^2),2)*MOD(INT(MOD(INT((F69)/1),256)/2^2),2)*4+MOD(INT(MOD(INT((D69)/1),256)/2^3),2)*MOD(INT(MOD(INT((F69)/1),256)/2^3),2)*8+MOD(INT(MOD(INT((D69)/1),256)/2^4),2)*MOD(INT(MOD(INT((F69)/1),256)/2^4),2)*16+MOD(INT(MOD(INT((D69)/1),256)/2^5),2)*MOD(INT(MOD(INT((F69)/1),256)/2^5),2)*32+MOD(INT(MOD(INT((D69)/1),256)/2^6),2)*MOD(INT(MOD(INT((F69)/1),256)/2^6),2)*64+MOD(INT(MOD(INT((D69)/1),256)/2^7),2)*MOD(INT(MOD(INT((F69)/1),256)/2^7),2)*128)*1+(MOD(INT(MOD(INT((D69)/256),256)/2^0),2)*MOD(INT(MOD(INT((F69)/256),256)/2^0),2)*1+MOD(INT(MOD(INT((D69)/256),256)/2^1),2)*MOD(INT(MOD(INT((F69)/256),256)/2^1),2)*2+MOD(INT(MOD(INT((D69)/256),256)/2^2),2)*MOD(INT(MOD(INT((F69)/256),256)/2^2),2)*4+MOD(INT(MOD(INT((D69)/256),256)/2^3),2)*MOD(INT(MOD(INT((F69)/256),256)/2^3),2)*8+MOD(INT(MOD(INT((D69)/256),256)/2^4),2)*MOD(INT(MOD(INT((F69)/256),256)/2^4),2)*16+MOD(INT(MOD(INT((D69)/256),256)/2^5),2)*MOD(INT(MOD(INT((F69)/256),256)/2^5),2)*32+MOD(INT(MOD(INT((D69)/256),256)/2^6),2)*MOD(INT(MOD(INT((F69)/256),256)/2^6),2)*64+MOD(INT(MOD(INT((D69)/256),256)/2^7),2)*MOD(INT(MOD(INT((F69)/256),256)/2^7),2)*128)*256+(MOD(INT(MOD(INT((D69)/65536),256)/2^0),2)*MOD(INT(MOD(INT((F69)/65536),256)/2^0),2)*1+MOD(INT(MOD(INT((D69)/65536),256)/2^1),2)*MOD(INT(MOD(INT((F69)/65536),256)/2^1),2)*2+MOD(INT(MOD(INT((D69)/65536),256)/2^2),2)*MOD(INT(MOD(INT((F69)/65536),256)/2^2),2)*4+MOD(INT(MOD(INT((D69)/65536),256)/2^3),2)*MOD(INT(MOD(INT((F69)/65536),256)/2^3),2)*8+MOD(INT(MOD(INT((D69)/65536),256)/2^4),2)*MOD(INT(MOD(INT((F69)/65536),256)/2^4),2)*16+MOD(INT(MOD(INT((D69)/65536),256)/2^5),2)*MOD(INT(MOD(INT((F69)/65536),256)/2^5),2)*32+MOD(INT(MOD(INT((D69)/65536),256)/2^6),2)*MOD(INT(MOD(INT((F69)/65536),256)/2^6),2)*64+MOD(INT(MOD(INT((D69)/65536),256)/2^7),2)*MOD(INT(MOD(INT((F69)/65536),256)/2^7),2)*128)*65536+(MOD(INT(MOD(INT((D69)/16777216),256)/2^0),2)*MOD(INT(MOD(INT((F69)/16777216),256)/2^0),2)*1+MOD(INT(MOD(INT((D69)/16777216),256)/2^1),2)*MOD(INT(MOD(INT((F69)/16777216),256)/2^1),2)*2+MOD(INT(MOD(INT((D69)/16777216),256)/2^2),2)*MOD(INT(MOD(INT((F69)/16777216),256)/2^2),2)*4+MOD(INT(MOD(INT((D69)/16777216),256)/2^3),2)*MOD(INT(MOD(INT((F69)/16777216),256)/2^3),2)*8+MOD(INT(MOD(INT((D69)/16777216),256)/2^4),2)*MOD(INT(MOD(INT((F69)/16777216),256)/2^4),2)*16+MOD(INT(MOD(INT((D69)/16777216),256)/2^5),2)*MOD(INT(MOD(INT((F69)/16777216),256)/2^5),2)*32+MOD(INT(MOD(INT((D69)/16777216),256)/2^6),2)*MOD(INT(MOD(INT((F69)/16777216),256)/2^6),2)*64+MOD(INT(MOD(INT((D69)/16777216),256)/2^7),2)*MOD(INT(MOD(INT((F69)/16777216),256)/2^7),2)*128)*16777216)</f>
        <v>1166297216</v>
      </c>
      <c r="BE70" s="24">
        <f t="shared" ref="BE70:BE85" si="186">((MOD(INT(MOD(INT((C69)/1),256)/2^0),2)*MOD(INT(MOD(INT((G69)/1),256)/2^0),2)*1+MOD(INT(MOD(INT((C69)/1),256)/2^1),2)*MOD(INT(MOD(INT((G69)/1),256)/2^1),2)*2+MOD(INT(MOD(INT((C69)/1),256)/2^2),2)*MOD(INT(MOD(INT((G69)/1),256)/2^2),2)*4+MOD(INT(MOD(INT((C69)/1),256)/2^3),2)*MOD(INT(MOD(INT((G69)/1),256)/2^3),2)*8+MOD(INT(MOD(INT((C69)/1),256)/2^4),2)*MOD(INT(MOD(INT((G69)/1),256)/2^4),2)*16+MOD(INT(MOD(INT((C69)/1),256)/2^5),2)*MOD(INT(MOD(INT((G69)/1),256)/2^5),2)*32+MOD(INT(MOD(INT((C69)/1),256)/2^6),2)*MOD(INT(MOD(INT((G69)/1),256)/2^6),2)*64+MOD(INT(MOD(INT((C69)/1),256)/2^7),2)*MOD(INT(MOD(INT((G69)/1),256)/2^7),2)*128)*1+(MOD(INT(MOD(INT((C69)/256),256)/2^0),2)*MOD(INT(MOD(INT((G69)/256),256)/2^0),2)*1+MOD(INT(MOD(INT((C69)/256),256)/2^1),2)*MOD(INT(MOD(INT((G69)/256),256)/2^1),2)*2+MOD(INT(MOD(INT((C69)/256),256)/2^2),2)*MOD(INT(MOD(INT((G69)/256),256)/2^2),2)*4+MOD(INT(MOD(INT((C69)/256),256)/2^3),2)*MOD(INT(MOD(INT((G69)/256),256)/2^3),2)*8+MOD(INT(MOD(INT((C69)/256),256)/2^4),2)*MOD(INT(MOD(INT((G69)/256),256)/2^4),2)*16+MOD(INT(MOD(INT((C69)/256),256)/2^5),2)*MOD(INT(MOD(INT((G69)/256),256)/2^5),2)*32+MOD(INT(MOD(INT((C69)/256),256)/2^6),2)*MOD(INT(MOD(INT((G69)/256),256)/2^6),2)*64+MOD(INT(MOD(INT((C69)/256),256)/2^7),2)*MOD(INT(MOD(INT((G69)/256),256)/2^7),2)*128)*256+(MOD(INT(MOD(INT((C69)/65536),256)/2^0),2)*MOD(INT(MOD(INT((G69)/65536),256)/2^0),2)*1+MOD(INT(MOD(INT((C69)/65536),256)/2^1),2)*MOD(INT(MOD(INT((G69)/65536),256)/2^1),2)*2+MOD(INT(MOD(INT((C69)/65536),256)/2^2),2)*MOD(INT(MOD(INT((G69)/65536),256)/2^2),2)*4+MOD(INT(MOD(INT((C69)/65536),256)/2^3),2)*MOD(INT(MOD(INT((G69)/65536),256)/2^3),2)*8+MOD(INT(MOD(INT((C69)/65536),256)/2^4),2)*MOD(INT(MOD(INT((G69)/65536),256)/2^4),2)*16+MOD(INT(MOD(INT((C69)/65536),256)/2^5),2)*MOD(INT(MOD(INT((G69)/65536),256)/2^5),2)*32+MOD(INT(MOD(INT((C69)/65536),256)/2^6),2)*MOD(INT(MOD(INT((G69)/65536),256)/2^6),2)*64+MOD(INT(MOD(INT((C69)/65536),256)/2^7),2)*MOD(INT(MOD(INT((G69)/65536),256)/2^7),2)*128)*65536+(MOD(INT(MOD(INT((C69)/16777216),256)/2^0),2)*MOD(INT(MOD(INT((G69)/16777216),256)/2^0),2)*1+MOD(INT(MOD(INT((C69)/16777216),256)/2^1),2)*MOD(INT(MOD(INT((G69)/16777216),256)/2^1),2)*2+MOD(INT(MOD(INT((C69)/16777216),256)/2^2),2)*MOD(INT(MOD(INT((G69)/16777216),256)/2^2),2)*4+MOD(INT(MOD(INT((C69)/16777216),256)/2^3),2)*MOD(INT(MOD(INT((G69)/16777216),256)/2^3),2)*8+MOD(INT(MOD(INT((C69)/16777216),256)/2^4),2)*MOD(INT(MOD(INT((G69)/16777216),256)/2^4),2)*16+MOD(INT(MOD(INT((C69)/16777216),256)/2^5),2)*MOD(INT(MOD(INT((G69)/16777216),256)/2^5),2)*32+MOD(INT(MOD(INT((C69)/16777216),256)/2^6),2)*MOD(INT(MOD(INT((G69)/16777216),256)/2^6),2)*64+MOD(INT(MOD(INT((C69)/16777216),256)/2^7),2)*MOD(INT(MOD(INT((G69)/16777216),256)/2^7),2)*128)*16777216)</f>
        <v>541066353</v>
      </c>
      <c r="BF70" s="24">
        <f t="shared" ref="BF70:BF85" si="187">((MOD(INT(MOD(INT((D69)/1),256)/2^0),2)*MOD(INT(MOD(INT((H69)/1),256)/2^0),2)*1+MOD(INT(MOD(INT((D69)/1),256)/2^1),2)*MOD(INT(MOD(INT((H69)/1),256)/2^1),2)*2+MOD(INT(MOD(INT((D69)/1),256)/2^2),2)*MOD(INT(MOD(INT((H69)/1),256)/2^2),2)*4+MOD(INT(MOD(INT((D69)/1),256)/2^3),2)*MOD(INT(MOD(INT((H69)/1),256)/2^3),2)*8+MOD(INT(MOD(INT((D69)/1),256)/2^4),2)*MOD(INT(MOD(INT((H69)/1),256)/2^4),2)*16+MOD(INT(MOD(INT((D69)/1),256)/2^5),2)*MOD(INT(MOD(INT((H69)/1),256)/2^5),2)*32+MOD(INT(MOD(INT((D69)/1),256)/2^6),2)*MOD(INT(MOD(INT((H69)/1),256)/2^6),2)*64+MOD(INT(MOD(INT((D69)/1),256)/2^7),2)*MOD(INT(MOD(INT((H69)/1),256)/2^7),2)*128)*1+(MOD(INT(MOD(INT((D69)/256),256)/2^0),2)*MOD(INT(MOD(INT((H69)/256),256)/2^0),2)*1+MOD(INT(MOD(INT((D69)/256),256)/2^1),2)*MOD(INT(MOD(INT((H69)/256),256)/2^1),2)*2+MOD(INT(MOD(INT((D69)/256),256)/2^2),2)*MOD(INT(MOD(INT((H69)/256),256)/2^2),2)*4+MOD(INT(MOD(INT((D69)/256),256)/2^3),2)*MOD(INT(MOD(INT((H69)/256),256)/2^3),2)*8+MOD(INT(MOD(INT((D69)/256),256)/2^4),2)*MOD(INT(MOD(INT((H69)/256),256)/2^4),2)*16+MOD(INT(MOD(INT((D69)/256),256)/2^5),2)*MOD(INT(MOD(INT((H69)/256),256)/2^5),2)*32+MOD(INT(MOD(INT((D69)/256),256)/2^6),2)*MOD(INT(MOD(INT((H69)/256),256)/2^6),2)*64+MOD(INT(MOD(INT((D69)/256),256)/2^7),2)*MOD(INT(MOD(INT((H69)/256),256)/2^7),2)*128)*256+(MOD(INT(MOD(INT((D69)/65536),256)/2^0),2)*MOD(INT(MOD(INT((H69)/65536),256)/2^0),2)*1+MOD(INT(MOD(INT((D69)/65536),256)/2^1),2)*MOD(INT(MOD(INT((H69)/65536),256)/2^1),2)*2+MOD(INT(MOD(INT((D69)/65536),256)/2^2),2)*MOD(INT(MOD(INT((H69)/65536),256)/2^2),2)*4+MOD(INT(MOD(INT((D69)/65536),256)/2^3),2)*MOD(INT(MOD(INT((H69)/65536),256)/2^3),2)*8+MOD(INT(MOD(INT((D69)/65536),256)/2^4),2)*MOD(INT(MOD(INT((H69)/65536),256)/2^4),2)*16+MOD(INT(MOD(INT((D69)/65536),256)/2^5),2)*MOD(INT(MOD(INT((H69)/65536),256)/2^5),2)*32+MOD(INT(MOD(INT((D69)/65536),256)/2^6),2)*MOD(INT(MOD(INT((H69)/65536),256)/2^6),2)*64+MOD(INT(MOD(INT((D69)/65536),256)/2^7),2)*MOD(INT(MOD(INT((H69)/65536),256)/2^7),2)*128)*65536+(MOD(INT(MOD(INT((D69)/16777216),256)/2^0),2)*MOD(INT(MOD(INT((H69)/16777216),256)/2^0),2)*1+MOD(INT(MOD(INT((D69)/16777216),256)/2^1),2)*MOD(INT(MOD(INT((H69)/16777216),256)/2^1),2)*2+MOD(INT(MOD(INT((D69)/16777216),256)/2^2),2)*MOD(INT(MOD(INT((H69)/16777216),256)/2^2),2)*4+MOD(INT(MOD(INT((D69)/16777216),256)/2^3),2)*MOD(INT(MOD(INT((H69)/16777216),256)/2^3),2)*8+MOD(INT(MOD(INT((D69)/16777216),256)/2^4),2)*MOD(INT(MOD(INT((H69)/16777216),256)/2^4),2)*16+MOD(INT(MOD(INT((D69)/16777216),256)/2^5),2)*MOD(INT(MOD(INT((H69)/16777216),256)/2^5),2)*32+MOD(INT(MOD(INT((D69)/16777216),256)/2^6),2)*MOD(INT(MOD(INT((H69)/16777216),256)/2^6),2)*64+MOD(INT(MOD(INT((D69)/16777216),256)/2^7),2)*MOD(INT(MOD(INT((H69)/16777216),256)/2^7),2)*128)*16777216)</f>
        <v>3313637504</v>
      </c>
      <c r="BG70" s="24">
        <f t="shared" ref="BG70:BG85" si="188">((MOD(INT(MOD(INT((E69)/1),256)/2^0),2)*MOD(INT(MOD(INT((G69)/1),256)/2^0),2)*1+MOD(INT(MOD(INT((E69)/1),256)/2^1),2)*MOD(INT(MOD(INT((G69)/1),256)/2^1),2)*2+MOD(INT(MOD(INT((E69)/1),256)/2^2),2)*MOD(INT(MOD(INT((G69)/1),256)/2^2),2)*4+MOD(INT(MOD(INT((E69)/1),256)/2^3),2)*MOD(INT(MOD(INT((G69)/1),256)/2^3),2)*8+MOD(INT(MOD(INT((E69)/1),256)/2^4),2)*MOD(INT(MOD(INT((G69)/1),256)/2^4),2)*16+MOD(INT(MOD(INT((E69)/1),256)/2^5),2)*MOD(INT(MOD(INT((G69)/1),256)/2^5),2)*32+MOD(INT(MOD(INT((E69)/1),256)/2^6),2)*MOD(INT(MOD(INT((G69)/1),256)/2^6),2)*64+MOD(INT(MOD(INT((E69)/1),256)/2^7),2)*MOD(INT(MOD(INT((G69)/1),256)/2^7),2)*128)*1+(MOD(INT(MOD(INT((E69)/256),256)/2^0),2)*MOD(INT(MOD(INT((G69)/256),256)/2^0),2)*1+MOD(INT(MOD(INT((E69)/256),256)/2^1),2)*MOD(INT(MOD(INT((G69)/256),256)/2^1),2)*2+MOD(INT(MOD(INT((E69)/256),256)/2^2),2)*MOD(INT(MOD(INT((G69)/256),256)/2^2),2)*4+MOD(INT(MOD(INT((E69)/256),256)/2^3),2)*MOD(INT(MOD(INT((G69)/256),256)/2^3),2)*8+MOD(INT(MOD(INT((E69)/256),256)/2^4),2)*MOD(INT(MOD(INT((G69)/256),256)/2^4),2)*16+MOD(INT(MOD(INT((E69)/256),256)/2^5),2)*MOD(INT(MOD(INT((G69)/256),256)/2^5),2)*32+MOD(INT(MOD(INT((E69)/256),256)/2^6),2)*MOD(INT(MOD(INT((G69)/256),256)/2^6),2)*64+MOD(INT(MOD(INT((E69)/256),256)/2^7),2)*MOD(INT(MOD(INT((G69)/256),256)/2^7),2)*128)*256+(MOD(INT(MOD(INT((E69)/65536),256)/2^0),2)*MOD(INT(MOD(INT((G69)/65536),256)/2^0),2)*1+MOD(INT(MOD(INT((E69)/65536),256)/2^1),2)*MOD(INT(MOD(INT((G69)/65536),256)/2^1),2)*2+MOD(INT(MOD(INT((E69)/65536),256)/2^2),2)*MOD(INT(MOD(INT((G69)/65536),256)/2^2),2)*4+MOD(INT(MOD(INT((E69)/65536),256)/2^3),2)*MOD(INT(MOD(INT((G69)/65536),256)/2^3),2)*8+MOD(INT(MOD(INT((E69)/65536),256)/2^4),2)*MOD(INT(MOD(INT((G69)/65536),256)/2^4),2)*16+MOD(INT(MOD(INT((E69)/65536),256)/2^5),2)*MOD(INT(MOD(INT((G69)/65536),256)/2^5),2)*32+MOD(INT(MOD(INT((E69)/65536),256)/2^6),2)*MOD(INT(MOD(INT((G69)/65536),256)/2^6),2)*64+MOD(INT(MOD(INT((E69)/65536),256)/2^7),2)*MOD(INT(MOD(INT((G69)/65536),256)/2^7),2)*128)*65536+(MOD(INT(MOD(INT((E69)/16777216),256)/2^0),2)*MOD(INT(MOD(INT((G69)/16777216),256)/2^0),2)*1+MOD(INT(MOD(INT((E69)/16777216),256)/2^1),2)*MOD(INT(MOD(INT((G69)/16777216),256)/2^1),2)*2+MOD(INT(MOD(INT((E69)/16777216),256)/2^2),2)*MOD(INT(MOD(INT((G69)/16777216),256)/2^2),2)*4+MOD(INT(MOD(INT((E69)/16777216),256)/2^3),2)*MOD(INT(MOD(INT((G69)/16777216),256)/2^3),2)*8+MOD(INT(MOD(INT((E69)/16777216),256)/2^4),2)*MOD(INT(MOD(INT((G69)/16777216),256)/2^4),2)*16+MOD(INT(MOD(INT((E69)/16777216),256)/2^5),2)*MOD(INT(MOD(INT((G69)/16777216),256)/2^5),2)*32+MOD(INT(MOD(INT((E69)/16777216),256)/2^6),2)*MOD(INT(MOD(INT((G69)/16777216),256)/2^6),2)*64+MOD(INT(MOD(INT((E69)/16777216),256)/2^7),2)*MOD(INT(MOD(INT((G69)/16777216),256)/2^7),2)*128)*16777216)</f>
        <v>10784852</v>
      </c>
      <c r="BH70" s="24">
        <f t="shared" ref="BH70:BH85" si="189">((MOD(INT(MOD(INT((F69)/1),256)/2^0),2)*MOD(INT(MOD(INT((H69)/1),256)/2^0),2)*1+MOD(INT(MOD(INT((F69)/1),256)/2^1),2)*MOD(INT(MOD(INT((H69)/1),256)/2^1),2)*2+MOD(INT(MOD(INT((F69)/1),256)/2^2),2)*MOD(INT(MOD(INT((H69)/1),256)/2^2),2)*4+MOD(INT(MOD(INT((F69)/1),256)/2^3),2)*MOD(INT(MOD(INT((H69)/1),256)/2^3),2)*8+MOD(INT(MOD(INT((F69)/1),256)/2^4),2)*MOD(INT(MOD(INT((H69)/1),256)/2^4),2)*16+MOD(INT(MOD(INT((F69)/1),256)/2^5),2)*MOD(INT(MOD(INT((H69)/1),256)/2^5),2)*32+MOD(INT(MOD(INT((F69)/1),256)/2^6),2)*MOD(INT(MOD(INT((H69)/1),256)/2^6),2)*64+MOD(INT(MOD(INT((F69)/1),256)/2^7),2)*MOD(INT(MOD(INT((H69)/1),256)/2^7),2)*128)*1+(MOD(INT(MOD(INT((F69)/256),256)/2^0),2)*MOD(INT(MOD(INT((H69)/256),256)/2^0),2)*1+MOD(INT(MOD(INT((F69)/256),256)/2^1),2)*MOD(INT(MOD(INT((H69)/256),256)/2^1),2)*2+MOD(INT(MOD(INT((F69)/256),256)/2^2),2)*MOD(INT(MOD(INT((H69)/256),256)/2^2),2)*4+MOD(INT(MOD(INT((F69)/256),256)/2^3),2)*MOD(INT(MOD(INT((H69)/256),256)/2^3),2)*8+MOD(INT(MOD(INT((F69)/256),256)/2^4),2)*MOD(INT(MOD(INT((H69)/256),256)/2^4),2)*16+MOD(INT(MOD(INT((F69)/256),256)/2^5),2)*MOD(INT(MOD(INT((H69)/256),256)/2^5),2)*32+MOD(INT(MOD(INT((F69)/256),256)/2^6),2)*MOD(INT(MOD(INT((H69)/256),256)/2^6),2)*64+MOD(INT(MOD(INT((F69)/256),256)/2^7),2)*MOD(INT(MOD(INT((H69)/256),256)/2^7),2)*128)*256+(MOD(INT(MOD(INT((F69)/65536),256)/2^0),2)*MOD(INT(MOD(INT((H69)/65536),256)/2^0),2)*1+MOD(INT(MOD(INT((F69)/65536),256)/2^1),2)*MOD(INT(MOD(INT((H69)/65536),256)/2^1),2)*2+MOD(INT(MOD(INT((F69)/65536),256)/2^2),2)*MOD(INT(MOD(INT((H69)/65536),256)/2^2),2)*4+MOD(INT(MOD(INT((F69)/65536),256)/2^3),2)*MOD(INT(MOD(INT((H69)/65536),256)/2^3),2)*8+MOD(INT(MOD(INT((F69)/65536),256)/2^4),2)*MOD(INT(MOD(INT((H69)/65536),256)/2^4),2)*16+MOD(INT(MOD(INT((F69)/65536),256)/2^5),2)*MOD(INT(MOD(INT((H69)/65536),256)/2^5),2)*32+MOD(INT(MOD(INT((F69)/65536),256)/2^6),2)*MOD(INT(MOD(INT((H69)/65536),256)/2^6),2)*64+MOD(INT(MOD(INT((F69)/65536),256)/2^7),2)*MOD(INT(MOD(INT((H69)/65536),256)/2^7),2)*128)*65536+(MOD(INT(MOD(INT((F69)/16777216),256)/2^0),2)*MOD(INT(MOD(INT((H69)/16777216),256)/2^0),2)*1+MOD(INT(MOD(INT((F69)/16777216),256)/2^1),2)*MOD(INT(MOD(INT((H69)/16777216),256)/2^1),2)*2+MOD(INT(MOD(INT((F69)/16777216),256)/2^2),2)*MOD(INT(MOD(INT((H69)/16777216),256)/2^2),2)*4+MOD(INT(MOD(INT((F69)/16777216),256)/2^3),2)*MOD(INT(MOD(INT((H69)/16777216),256)/2^3),2)*8+MOD(INT(MOD(INT((F69)/16777216),256)/2^4),2)*MOD(INT(MOD(INT((H69)/16777216),256)/2^4),2)*16+MOD(INT(MOD(INT((F69)/16777216),256)/2^5),2)*MOD(INT(MOD(INT((H69)/16777216),256)/2^5),2)*32+MOD(INT(MOD(INT((F69)/16777216),256)/2^6),2)*MOD(INT(MOD(INT((H69)/16777216),256)/2^6),2)*64+MOD(INT(MOD(INT((F69)/16777216),256)/2^7),2)*MOD(INT(MOD(INT((H69)/16777216),256)/2^7),2)*128)*16777216)</f>
        <v>1301383560</v>
      </c>
      <c r="BI70" s="24">
        <f t="shared" ref="BI70:BI85" si="190">((MOD(INT(MOD(INT((BC70)/1),256)/2^0),2)*MOD(INT(MOD(INT((BG70)/1),256)/2^0),2)*1+MOD(INT(MOD(INT((BC70)/1),256)/2^1),2)*MOD(INT(MOD(INT((BG70)/1),256)/2^1),2)*2+MOD(INT(MOD(INT((BC70)/1),256)/2^2),2)*MOD(INT(MOD(INT((BG70)/1),256)/2^2),2)*4+MOD(INT(MOD(INT((BC70)/1),256)/2^3),2)*MOD(INT(MOD(INT((BG70)/1),256)/2^3),2)*8+MOD(INT(MOD(INT((BC70)/1),256)/2^4),2)*MOD(INT(MOD(INT((BG70)/1),256)/2^4),2)*16+MOD(INT(MOD(INT((BC70)/1),256)/2^5),2)*MOD(INT(MOD(INT((BG70)/1),256)/2^5),2)*32+MOD(INT(MOD(INT((BC70)/1),256)/2^6),2)*MOD(INT(MOD(INT((BG70)/1),256)/2^6),2)*64+MOD(INT(MOD(INT((BC70)/1),256)/2^7),2)*MOD(INT(MOD(INT((BG70)/1),256)/2^7),2)*128)*1+(MOD(INT(MOD(INT((BC70)/256),256)/2^0),2)*MOD(INT(MOD(INT((BG70)/256),256)/2^0),2)*1+MOD(INT(MOD(INT((BC70)/256),256)/2^1),2)*MOD(INT(MOD(INT((BG70)/256),256)/2^1),2)*2+MOD(INT(MOD(INT((BC70)/256),256)/2^2),2)*MOD(INT(MOD(INT((BG70)/256),256)/2^2),2)*4+MOD(INT(MOD(INT((BC70)/256),256)/2^3),2)*MOD(INT(MOD(INT((BG70)/256),256)/2^3),2)*8+MOD(INT(MOD(INT((BC70)/256),256)/2^4),2)*MOD(INT(MOD(INT((BG70)/256),256)/2^4),2)*16+MOD(INT(MOD(INT((BC70)/256),256)/2^5),2)*MOD(INT(MOD(INT((BG70)/256),256)/2^5),2)*32+MOD(INT(MOD(INT((BC70)/256),256)/2^6),2)*MOD(INT(MOD(INT((BG70)/256),256)/2^6),2)*64+MOD(INT(MOD(INT((BC70)/256),256)/2^7),2)*MOD(INT(MOD(INT((BG70)/256),256)/2^7),2)*128)*256+(MOD(INT(MOD(INT((BC70)/65536),256)/2^0),2)*MOD(INT(MOD(INT((BG70)/65536),256)/2^0),2)*1+MOD(INT(MOD(INT((BC70)/65536),256)/2^1),2)*MOD(INT(MOD(INT((BG70)/65536),256)/2^1),2)*2+MOD(INT(MOD(INT((BC70)/65536),256)/2^2),2)*MOD(INT(MOD(INT((BG70)/65536),256)/2^2),2)*4+MOD(INT(MOD(INT((BC70)/65536),256)/2^3),2)*MOD(INT(MOD(INT((BG70)/65536),256)/2^3),2)*8+MOD(INT(MOD(INT((BC70)/65536),256)/2^4),2)*MOD(INT(MOD(INT((BG70)/65536),256)/2^4),2)*16+MOD(INT(MOD(INT((BC70)/65536),256)/2^5),2)*MOD(INT(MOD(INT((BG70)/65536),256)/2^5),2)*32+MOD(INT(MOD(INT((BC70)/65536),256)/2^6),2)*MOD(INT(MOD(INT((BG70)/65536),256)/2^6),2)*64+MOD(INT(MOD(INT((BC70)/65536),256)/2^7),2)*MOD(INT(MOD(INT((BG70)/65536),256)/2^7),2)*128)*65536+(MOD(INT(MOD(INT((BC70)/16777216),256)/2^0),2)*MOD(INT(MOD(INT((BG70)/16777216),256)/2^0),2)*1+MOD(INT(MOD(INT((BC70)/16777216),256)/2^1),2)*MOD(INT(MOD(INT((BG70)/16777216),256)/2^1),2)*2+MOD(INT(MOD(INT((BC70)/16777216),256)/2^2),2)*MOD(INT(MOD(INT((BG70)/16777216),256)/2^2),2)*4+MOD(INT(MOD(INT((BC70)/16777216),256)/2^3),2)*MOD(INT(MOD(INT((BG70)/16777216),256)/2^3),2)*8+MOD(INT(MOD(INT((BC70)/16777216),256)/2^4),2)*MOD(INT(MOD(INT((BG70)/16777216),256)/2^4),2)*16+MOD(INT(MOD(INT((BC70)/16777216),256)/2^5),2)*MOD(INT(MOD(INT((BG70)/16777216),256)/2^5),2)*32+MOD(INT(MOD(INT((BC70)/16777216),256)/2^6),2)*MOD(INT(MOD(INT((BG70)/16777216),256)/2^6),2)*64+MOD(INT(MOD(INT((BC70)/16777216),256)/2^7),2)*MOD(INT(MOD(INT((BG70)/16777216),256)/2^7),2)*128)*16777216)</f>
        <v>80</v>
      </c>
      <c r="BJ70" s="24">
        <f t="shared" ref="BJ70:BJ85" si="191">((MOD(INT(MOD(INT((BD70)/1),256)/2^0),2)*MOD(INT(MOD(INT((BH70)/1),256)/2^0),2)*1+MOD(INT(MOD(INT((BD70)/1),256)/2^1),2)*MOD(INT(MOD(INT((BH70)/1),256)/2^1),2)*2+MOD(INT(MOD(INT((BD70)/1),256)/2^2),2)*MOD(INT(MOD(INT((BH70)/1),256)/2^2),2)*4+MOD(INT(MOD(INT((BD70)/1),256)/2^3),2)*MOD(INT(MOD(INT((BH70)/1),256)/2^3),2)*8+MOD(INT(MOD(INT((BD70)/1),256)/2^4),2)*MOD(INT(MOD(INT((BH70)/1),256)/2^4),2)*16+MOD(INT(MOD(INT((BD70)/1),256)/2^5),2)*MOD(INT(MOD(INT((BH70)/1),256)/2^5),2)*32+MOD(INT(MOD(INT((BD70)/1),256)/2^6),2)*MOD(INT(MOD(INT((BH70)/1),256)/2^6),2)*64+MOD(INT(MOD(INT((BD70)/1),256)/2^7),2)*MOD(INT(MOD(INT((BH70)/1),256)/2^7),2)*128)*1+(MOD(INT(MOD(INT((BD70)/256),256)/2^0),2)*MOD(INT(MOD(INT((BH70)/256),256)/2^0),2)*1+MOD(INT(MOD(INT((BD70)/256),256)/2^1),2)*MOD(INT(MOD(INT((BH70)/256),256)/2^1),2)*2+MOD(INT(MOD(INT((BD70)/256),256)/2^2),2)*MOD(INT(MOD(INT((BH70)/256),256)/2^2),2)*4+MOD(INT(MOD(INT((BD70)/256),256)/2^3),2)*MOD(INT(MOD(INT((BH70)/256),256)/2^3),2)*8+MOD(INT(MOD(INT((BD70)/256),256)/2^4),2)*MOD(INT(MOD(INT((BH70)/256),256)/2^4),2)*16+MOD(INT(MOD(INT((BD70)/256),256)/2^5),2)*MOD(INT(MOD(INT((BH70)/256),256)/2^5),2)*32+MOD(INT(MOD(INT((BD70)/256),256)/2^6),2)*MOD(INT(MOD(INT((BH70)/256),256)/2^6),2)*64+MOD(INT(MOD(INT((BD70)/256),256)/2^7),2)*MOD(INT(MOD(INT((BH70)/256),256)/2^7),2)*128)*256+(MOD(INT(MOD(INT((BD70)/65536),256)/2^0),2)*MOD(INT(MOD(INT((BH70)/65536),256)/2^0),2)*1+MOD(INT(MOD(INT((BD70)/65536),256)/2^1),2)*MOD(INT(MOD(INT((BH70)/65536),256)/2^1),2)*2+MOD(INT(MOD(INT((BD70)/65536),256)/2^2),2)*MOD(INT(MOD(INT((BH70)/65536),256)/2^2),2)*4+MOD(INT(MOD(INT((BD70)/65536),256)/2^3),2)*MOD(INT(MOD(INT((BH70)/65536),256)/2^3),2)*8+MOD(INT(MOD(INT((BD70)/65536),256)/2^4),2)*MOD(INT(MOD(INT((BH70)/65536),256)/2^4),2)*16+MOD(INT(MOD(INT((BD70)/65536),256)/2^5),2)*MOD(INT(MOD(INT((BH70)/65536),256)/2^5),2)*32+MOD(INT(MOD(INT((BD70)/65536),256)/2^6),2)*MOD(INT(MOD(INT((BH70)/65536),256)/2^6),2)*64+MOD(INT(MOD(INT((BD70)/65536),256)/2^7),2)*MOD(INT(MOD(INT((BH70)/65536),256)/2^7),2)*128)*65536+(MOD(INT(MOD(INT((BD70)/16777216),256)/2^0),2)*MOD(INT(MOD(INT((BH70)/16777216),256)/2^0),2)*1+MOD(INT(MOD(INT((BD70)/16777216),256)/2^1),2)*MOD(INT(MOD(INT((BH70)/16777216),256)/2^1),2)*2+MOD(INT(MOD(INT((BD70)/16777216),256)/2^2),2)*MOD(INT(MOD(INT((BH70)/16777216),256)/2^2),2)*4+MOD(INT(MOD(INT((BD70)/16777216),256)/2^3),2)*MOD(INT(MOD(INT((BH70)/16777216),256)/2^3),2)*8+MOD(INT(MOD(INT((BD70)/16777216),256)/2^4),2)*MOD(INT(MOD(INT((BH70)/16777216),256)/2^4),2)*16+MOD(INT(MOD(INT((BD70)/16777216),256)/2^5),2)*MOD(INT(MOD(INT((BH70)/16777216),256)/2^5),2)*32+MOD(INT(MOD(INT((BD70)/16777216),256)/2^6),2)*MOD(INT(MOD(INT((BH70)/16777216),256)/2^6),2)*64+MOD(INT(MOD(INT((BD70)/16777216),256)/2^7),2)*MOD(INT(MOD(INT((BH70)/16777216),256)/2^7),2)*128)*16777216)</f>
        <v>1166018688</v>
      </c>
      <c r="BK70" s="24">
        <f t="shared" ref="BK70:BK85" si="192">MOD(BC70+BE70+BG70-2*BI70,4294967296)</f>
        <v>585421949</v>
      </c>
      <c r="BL70" s="24">
        <f t="shared" ref="BL70:BL85" si="193">MOD(BD70+BF70+BH70-2*BJ70,4294967296)</f>
        <v>3449280904</v>
      </c>
      <c r="BM70" s="24">
        <f>MOD(R69+AF70+BB70+'📦 Константы SHA-512'!D68+BI264,4294967296)</f>
        <v>2341682937</v>
      </c>
      <c r="BN70" s="24">
        <f>INT((R69+AF70+BB70+'📦 Константы SHA-512'!D68+BI264)/4294967296)</f>
        <v>2</v>
      </c>
      <c r="BO70" s="24">
        <f>MOD(Q69+AE70+BA70+'📦 Константы SHA-512'!C68+BH264+BN70,4294967296)</f>
        <v>2172834713</v>
      </c>
      <c r="BP70" s="24" t="s">
        <v>362</v>
      </c>
      <c r="BQ70" s="24">
        <f t="shared" ref="BQ70:BQ85" si="194">MOD(AT70+BL70,4294967296)</f>
        <v>4001901984</v>
      </c>
      <c r="BR70" s="24">
        <f t="shared" ref="BR70:BR85" si="195">INT((AT70+BL70)/4294967296)</f>
        <v>0</v>
      </c>
      <c r="BS70" s="24">
        <f t="shared" ref="BS70:BS101" si="196">MOD(AS70+BK70+BR70,4294967296)</f>
        <v>4113684304</v>
      </c>
      <c r="BU70" s="24">
        <f t="shared" ref="BU70:BU85" si="197">MOD(I69+BO70+INT((J69+BM70)/4294967296),4294967296)</f>
        <v>3935082020</v>
      </c>
      <c r="BV70" s="24">
        <f t="shared" ref="BV70:BV85" si="198">MOD(J69+BM70,4294967296)</f>
        <v>4149806010</v>
      </c>
      <c r="BW70" s="24">
        <f t="shared" ref="BW70:BW85" si="199">MOD(BO70+BS70+INT((BM70+BQ70)/4294967296),4294967296)</f>
        <v>1991551722</v>
      </c>
      <c r="BX70" s="24">
        <f t="shared" ref="BX70:BX85" si="200">MOD(BM70+BQ70,4294967296)</f>
        <v>2048617625</v>
      </c>
    </row>
    <row r="71" spans="2:76" ht="12.75" customHeight="1" x14ac:dyDescent="0.25">
      <c r="B71" s="33">
        <v>66</v>
      </c>
      <c r="C71" s="26">
        <f t="shared" si="134"/>
        <v>1461404278</v>
      </c>
      <c r="D71" s="26">
        <f t="shared" si="135"/>
        <v>146840396</v>
      </c>
      <c r="E71" s="26">
        <f t="shared" si="136"/>
        <v>1991551722</v>
      </c>
      <c r="F71" s="26">
        <f t="shared" si="137"/>
        <v>2048617625</v>
      </c>
      <c r="G71" s="26">
        <f t="shared" si="138"/>
        <v>843074681</v>
      </c>
      <c r="H71" s="26">
        <f t="shared" si="139"/>
        <v>3851311236</v>
      </c>
      <c r="I71" s="26">
        <f t="shared" si="140"/>
        <v>1119146076</v>
      </c>
      <c r="J71" s="26">
        <f t="shared" si="141"/>
        <v>1301663130</v>
      </c>
      <c r="K71" s="26">
        <f t="shared" si="142"/>
        <v>646515213</v>
      </c>
      <c r="L71" s="26">
        <f t="shared" si="143"/>
        <v>1695152948</v>
      </c>
      <c r="M71" s="26">
        <f t="shared" si="144"/>
        <v>3935082020</v>
      </c>
      <c r="N71" s="26">
        <f t="shared" si="145"/>
        <v>4149806010</v>
      </c>
      <c r="O71" s="26">
        <f t="shared" si="146"/>
        <v>4109787350</v>
      </c>
      <c r="P71" s="26">
        <f t="shared" si="147"/>
        <v>1402379545</v>
      </c>
      <c r="Q71" s="26">
        <f t="shared" si="148"/>
        <v>619811150</v>
      </c>
      <c r="R71" s="26">
        <f t="shared" si="149"/>
        <v>384450613</v>
      </c>
      <c r="S71" s="24">
        <f t="shared" si="150"/>
        <v>250325554</v>
      </c>
      <c r="T71" s="24">
        <f t="shared" si="151"/>
        <v>1486085476</v>
      </c>
      <c r="U71" s="24">
        <f t="shared" si="152"/>
        <v>1089387171</v>
      </c>
      <c r="V71" s="24">
        <f t="shared" si="153"/>
        <v>629751254</v>
      </c>
      <c r="W71" s="24">
        <f t="shared" si="154"/>
        <v>310094977</v>
      </c>
      <c r="X71" s="24">
        <f t="shared" si="155"/>
        <v>3715450443</v>
      </c>
      <c r="Y71" s="24">
        <f t="shared" si="156"/>
        <v>15378978</v>
      </c>
      <c r="Z71" s="24">
        <f t="shared" si="157"/>
        <v>8461636</v>
      </c>
      <c r="AA71" s="24">
        <f t="shared" si="158"/>
        <v>1308954769</v>
      </c>
      <c r="AB71" s="24">
        <f t="shared" si="159"/>
        <v>2098913458</v>
      </c>
      <c r="AC71" s="24">
        <f t="shared" si="160"/>
        <v>33620097</v>
      </c>
      <c r="AD71" s="24">
        <f t="shared" si="161"/>
        <v>1561346050</v>
      </c>
      <c r="AE71" s="24">
        <f t="shared" si="162"/>
        <v>1551809552</v>
      </c>
      <c r="AF71" s="24">
        <f t="shared" si="163"/>
        <v>2691671801</v>
      </c>
      <c r="AG71" s="24">
        <f t="shared" si="164"/>
        <v>2713110935</v>
      </c>
      <c r="AH71" s="24">
        <f t="shared" si="165"/>
        <v>1800056487</v>
      </c>
      <c r="AI71" s="24">
        <f t="shared" si="166"/>
        <v>2659638054</v>
      </c>
      <c r="AJ71" s="24">
        <f t="shared" si="167"/>
        <v>1571629754</v>
      </c>
      <c r="AK71" s="24">
        <f t="shared" si="168"/>
        <v>3572774617</v>
      </c>
      <c r="AL71" s="24">
        <f t="shared" si="169"/>
        <v>854419797</v>
      </c>
      <c r="AM71" s="24">
        <f t="shared" si="170"/>
        <v>2156316934</v>
      </c>
      <c r="AN71" s="24">
        <f t="shared" si="171"/>
        <v>1225271970</v>
      </c>
      <c r="AO71" s="24">
        <f t="shared" si="172"/>
        <v>1060115121</v>
      </c>
      <c r="AP71" s="24">
        <f t="shared" si="173"/>
        <v>921142301</v>
      </c>
      <c r="AQ71" s="24">
        <f t="shared" si="174"/>
        <v>338694801</v>
      </c>
      <c r="AR71" s="24">
        <f t="shared" si="175"/>
        <v>853868565</v>
      </c>
      <c r="AS71" s="24">
        <f t="shared" si="176"/>
        <v>3955500136</v>
      </c>
      <c r="AT71" s="24">
        <f t="shared" si="177"/>
        <v>67824968</v>
      </c>
      <c r="AU71" s="24">
        <f t="shared" si="178"/>
        <v>3766747140</v>
      </c>
      <c r="AV71" s="24">
        <f t="shared" si="179"/>
        <v>1393557784</v>
      </c>
      <c r="AW71" s="24">
        <f t="shared" si="180"/>
        <v>74514762</v>
      </c>
      <c r="AX71" s="24">
        <f t="shared" si="181"/>
        <v>10633221</v>
      </c>
      <c r="BA71" s="24">
        <f t="shared" si="182"/>
        <v>3841261902</v>
      </c>
      <c r="BB71" s="24">
        <f t="shared" si="183"/>
        <v>1404191005</v>
      </c>
      <c r="BC71" s="24">
        <f t="shared" si="184"/>
        <v>838862952</v>
      </c>
      <c r="BD71" s="24">
        <f t="shared" si="185"/>
        <v>1611286656</v>
      </c>
      <c r="BE71" s="24">
        <f t="shared" si="186"/>
        <v>1119125576</v>
      </c>
      <c r="BF71" s="24">
        <f t="shared" si="187"/>
        <v>1209093272</v>
      </c>
      <c r="BG71" s="24">
        <f t="shared" si="188"/>
        <v>33570904</v>
      </c>
      <c r="BH71" s="24">
        <f t="shared" si="189"/>
        <v>1166297216</v>
      </c>
      <c r="BI71" s="24">
        <f t="shared" si="190"/>
        <v>33554504</v>
      </c>
      <c r="BJ71" s="24">
        <f t="shared" si="191"/>
        <v>1073760384</v>
      </c>
      <c r="BK71" s="24">
        <f t="shared" si="192"/>
        <v>1924450424</v>
      </c>
      <c r="BL71" s="24">
        <f t="shared" si="193"/>
        <v>1839156376</v>
      </c>
      <c r="BM71" s="24">
        <f>MOD(R70+AF71+BB71+'📦 Константы SHA-512'!D69+BI265,4294967296)</f>
        <v>2534826348</v>
      </c>
      <c r="BN71" s="24">
        <f>INT((R70+AF71+BB71+'📦 Константы SHA-512'!D69+BI265)/4294967296)</f>
        <v>2</v>
      </c>
      <c r="BO71" s="24">
        <f>MOD(Q70+AE71+BA71+'📦 Константы SHA-512'!C69+BH265+BN71,4294967296)</f>
        <v>4171388309</v>
      </c>
      <c r="BP71" s="24" t="s">
        <v>363</v>
      </c>
      <c r="BQ71" s="24">
        <f t="shared" si="194"/>
        <v>1906981344</v>
      </c>
      <c r="BR71" s="24">
        <f t="shared" si="195"/>
        <v>0</v>
      </c>
      <c r="BS71" s="24">
        <f t="shared" si="196"/>
        <v>1584983264</v>
      </c>
      <c r="BU71" s="24">
        <f t="shared" si="197"/>
        <v>646515213</v>
      </c>
      <c r="BV71" s="24">
        <f t="shared" si="198"/>
        <v>1695152948</v>
      </c>
      <c r="BW71" s="24">
        <f t="shared" si="199"/>
        <v>1461404278</v>
      </c>
      <c r="BX71" s="24">
        <f t="shared" si="200"/>
        <v>146840396</v>
      </c>
    </row>
    <row r="72" spans="2:76" ht="12.75" customHeight="1" x14ac:dyDescent="0.25">
      <c r="B72" s="35">
        <v>67</v>
      </c>
      <c r="C72" s="28">
        <f t="shared" si="134"/>
        <v>4051923659</v>
      </c>
      <c r="D72" s="28">
        <f t="shared" si="135"/>
        <v>1347519908</v>
      </c>
      <c r="E72" s="28">
        <f t="shared" si="136"/>
        <v>1461404278</v>
      </c>
      <c r="F72" s="28">
        <f t="shared" si="137"/>
        <v>146840396</v>
      </c>
      <c r="G72" s="28">
        <f t="shared" si="138"/>
        <v>1991551722</v>
      </c>
      <c r="H72" s="28">
        <f t="shared" si="139"/>
        <v>2048617625</v>
      </c>
      <c r="I72" s="28">
        <f t="shared" si="140"/>
        <v>843074681</v>
      </c>
      <c r="J72" s="28">
        <f t="shared" si="141"/>
        <v>3851311236</v>
      </c>
      <c r="K72" s="28">
        <f t="shared" si="142"/>
        <v>3690980748</v>
      </c>
      <c r="L72" s="28">
        <f t="shared" si="143"/>
        <v>947927353</v>
      </c>
      <c r="M72" s="28">
        <f t="shared" si="144"/>
        <v>646515213</v>
      </c>
      <c r="N72" s="28">
        <f t="shared" si="145"/>
        <v>1695152948</v>
      </c>
      <c r="O72" s="28">
        <f t="shared" si="146"/>
        <v>3935082020</v>
      </c>
      <c r="P72" s="28">
        <f t="shared" si="147"/>
        <v>4149806010</v>
      </c>
      <c r="Q72" s="28">
        <f t="shared" si="148"/>
        <v>4109787350</v>
      </c>
      <c r="R72" s="28">
        <f t="shared" si="149"/>
        <v>1402379545</v>
      </c>
      <c r="S72" s="24">
        <f t="shared" si="150"/>
        <v>3973093924</v>
      </c>
      <c r="T72" s="24">
        <f t="shared" si="151"/>
        <v>674599975</v>
      </c>
      <c r="U72" s="24">
        <f t="shared" si="152"/>
        <v>2127366562</v>
      </c>
      <c r="V72" s="24">
        <f t="shared" si="153"/>
        <v>1115904322</v>
      </c>
      <c r="W72" s="24">
        <f t="shared" si="154"/>
        <v>112362749</v>
      </c>
      <c r="X72" s="24">
        <f t="shared" si="155"/>
        <v>2584953989</v>
      </c>
      <c r="Y72" s="24">
        <f t="shared" si="156"/>
        <v>1824524320</v>
      </c>
      <c r="Z72" s="24">
        <f t="shared" si="157"/>
        <v>69634</v>
      </c>
      <c r="AA72" s="24">
        <f t="shared" si="158"/>
        <v>2451411846</v>
      </c>
      <c r="AB72" s="24">
        <f t="shared" si="159"/>
        <v>1790365029</v>
      </c>
      <c r="AC72" s="24">
        <f t="shared" si="160"/>
        <v>34635908</v>
      </c>
      <c r="AD72" s="24">
        <f t="shared" si="161"/>
        <v>168969221</v>
      </c>
      <c r="AE72" s="24">
        <f t="shared" si="162"/>
        <v>2494502779</v>
      </c>
      <c r="AF72" s="24">
        <f t="shared" si="163"/>
        <v>4037380576</v>
      </c>
      <c r="AG72" s="24">
        <f t="shared" si="164"/>
        <v>2349446341</v>
      </c>
      <c r="AH72" s="24">
        <f t="shared" si="165"/>
        <v>1907631968</v>
      </c>
      <c r="AI72" s="24">
        <f t="shared" si="166"/>
        <v>2184193747</v>
      </c>
      <c r="AJ72" s="24">
        <f t="shared" si="167"/>
        <v>365351069</v>
      </c>
      <c r="AK72" s="24">
        <f t="shared" si="168"/>
        <v>3960570166</v>
      </c>
      <c r="AL72" s="24">
        <f t="shared" si="169"/>
        <v>2561554052</v>
      </c>
      <c r="AM72" s="24">
        <f t="shared" si="170"/>
        <v>2147493057</v>
      </c>
      <c r="AN72" s="24">
        <f t="shared" si="171"/>
        <v>293863424</v>
      </c>
      <c r="AO72" s="24">
        <f t="shared" si="172"/>
        <v>238653974</v>
      </c>
      <c r="AP72" s="24">
        <f t="shared" si="173"/>
        <v>1685256189</v>
      </c>
      <c r="AQ72" s="24">
        <f t="shared" si="174"/>
        <v>202473494</v>
      </c>
      <c r="AR72" s="24">
        <f t="shared" si="175"/>
        <v>2242180</v>
      </c>
      <c r="AS72" s="24">
        <f t="shared" si="176"/>
        <v>3794277152</v>
      </c>
      <c r="AT72" s="24">
        <f t="shared" si="177"/>
        <v>4242325881</v>
      </c>
      <c r="AU72" s="24">
        <f t="shared" si="178"/>
        <v>579338756</v>
      </c>
      <c r="AV72" s="24">
        <f t="shared" si="179"/>
        <v>1695089456</v>
      </c>
      <c r="AW72" s="24">
        <f t="shared" si="180"/>
        <v>3497418962</v>
      </c>
      <c r="AX72" s="24">
        <f t="shared" si="181"/>
        <v>311821321</v>
      </c>
      <c r="BA72" s="24">
        <f t="shared" si="182"/>
        <v>4076757718</v>
      </c>
      <c r="BB72" s="24">
        <f t="shared" si="183"/>
        <v>2006910777</v>
      </c>
      <c r="BC72" s="24">
        <f t="shared" si="184"/>
        <v>1443889762</v>
      </c>
      <c r="BD72" s="24">
        <f t="shared" si="185"/>
        <v>134219784</v>
      </c>
      <c r="BE72" s="24">
        <f t="shared" si="186"/>
        <v>302006384</v>
      </c>
      <c r="BF72" s="24">
        <f t="shared" si="187"/>
        <v>8394756</v>
      </c>
      <c r="BG72" s="24">
        <f t="shared" si="188"/>
        <v>838862952</v>
      </c>
      <c r="BH72" s="24">
        <f t="shared" si="189"/>
        <v>1611286656</v>
      </c>
      <c r="BI72" s="24">
        <f t="shared" si="190"/>
        <v>301989984</v>
      </c>
      <c r="BJ72" s="24">
        <f t="shared" si="191"/>
        <v>2048</v>
      </c>
      <c r="BK72" s="24">
        <f t="shared" si="192"/>
        <v>1980779130</v>
      </c>
      <c r="BL72" s="24">
        <f t="shared" si="193"/>
        <v>1753897100</v>
      </c>
      <c r="BM72" s="24">
        <f>MOD(R71+AF72+BB72+'📦 Константы SHA-512'!D70+BI266,4294967296)</f>
        <v>3941231519</v>
      </c>
      <c r="BN72" s="24">
        <f>INT((R71+AF72+BB72+'📦 Константы SHA-512'!D70+BI266)/4294967296)</f>
        <v>2</v>
      </c>
      <c r="BO72" s="24">
        <f>MOD(Q71+AE72+BA72+'📦 Константы SHA-512'!C70+BH266+BN72,4294967296)</f>
        <v>2571834671</v>
      </c>
      <c r="BP72" s="24" t="s">
        <v>364</v>
      </c>
      <c r="BQ72" s="24">
        <f t="shared" si="194"/>
        <v>1701255685</v>
      </c>
      <c r="BR72" s="24">
        <f t="shared" si="195"/>
        <v>1</v>
      </c>
      <c r="BS72" s="24">
        <f t="shared" si="196"/>
        <v>1480088987</v>
      </c>
      <c r="BU72" s="24">
        <f t="shared" si="197"/>
        <v>3690980748</v>
      </c>
      <c r="BV72" s="24">
        <f t="shared" si="198"/>
        <v>947927353</v>
      </c>
      <c r="BW72" s="24">
        <f t="shared" si="199"/>
        <v>4051923659</v>
      </c>
      <c r="BX72" s="24">
        <f t="shared" si="200"/>
        <v>1347519908</v>
      </c>
    </row>
    <row r="73" spans="2:76" ht="12.75" customHeight="1" x14ac:dyDescent="0.25">
      <c r="B73" s="37">
        <v>68</v>
      </c>
      <c r="C73" s="30">
        <f t="shared" si="134"/>
        <v>141810733</v>
      </c>
      <c r="D73" s="30">
        <f t="shared" si="135"/>
        <v>2342993067</v>
      </c>
      <c r="E73" s="30">
        <f t="shared" si="136"/>
        <v>4051923659</v>
      </c>
      <c r="F73" s="30">
        <f t="shared" si="137"/>
        <v>1347519908</v>
      </c>
      <c r="G73" s="30">
        <f t="shared" si="138"/>
        <v>1461404278</v>
      </c>
      <c r="H73" s="30">
        <f t="shared" si="139"/>
        <v>146840396</v>
      </c>
      <c r="I73" s="30">
        <f t="shared" si="140"/>
        <v>1991551722</v>
      </c>
      <c r="J73" s="30">
        <f t="shared" si="141"/>
        <v>2048617625</v>
      </c>
      <c r="K73" s="30">
        <f t="shared" si="142"/>
        <v>2071211407</v>
      </c>
      <c r="L73" s="30">
        <f t="shared" si="143"/>
        <v>2871988417</v>
      </c>
      <c r="M73" s="30">
        <f t="shared" si="144"/>
        <v>3690980748</v>
      </c>
      <c r="N73" s="30">
        <f t="shared" si="145"/>
        <v>947927353</v>
      </c>
      <c r="O73" s="30">
        <f t="shared" si="146"/>
        <v>646515213</v>
      </c>
      <c r="P73" s="30">
        <f t="shared" si="147"/>
        <v>1695152948</v>
      </c>
      <c r="Q73" s="30">
        <f t="shared" si="148"/>
        <v>3935082020</v>
      </c>
      <c r="R73" s="30">
        <f t="shared" si="149"/>
        <v>4149806010</v>
      </c>
      <c r="S73" s="24">
        <f t="shared" si="150"/>
        <v>3840372735</v>
      </c>
      <c r="T73" s="24">
        <f t="shared" si="151"/>
        <v>2519785984</v>
      </c>
      <c r="U73" s="24">
        <f t="shared" si="152"/>
        <v>240023295</v>
      </c>
      <c r="V73" s="24">
        <f t="shared" si="153"/>
        <v>4184018464</v>
      </c>
      <c r="W73" s="24">
        <f t="shared" si="154"/>
        <v>3323740188</v>
      </c>
      <c r="X73" s="24">
        <f t="shared" si="155"/>
        <v>2632843250</v>
      </c>
      <c r="Y73" s="24">
        <f t="shared" si="156"/>
        <v>71722751</v>
      </c>
      <c r="Z73" s="24">
        <f t="shared" si="157"/>
        <v>2418016768</v>
      </c>
      <c r="AA73" s="24">
        <f t="shared" si="158"/>
        <v>3936950528</v>
      </c>
      <c r="AB73" s="24">
        <f t="shared" si="159"/>
        <v>1867770912</v>
      </c>
      <c r="AC73" s="24">
        <f t="shared" si="160"/>
        <v>3255304192</v>
      </c>
      <c r="AD73" s="24">
        <f t="shared" si="161"/>
        <v>205646880</v>
      </c>
      <c r="AE73" s="24">
        <f t="shared" si="162"/>
        <v>750082332</v>
      </c>
      <c r="AF73" s="24">
        <f t="shared" si="163"/>
        <v>4089320402</v>
      </c>
      <c r="AG73" s="24">
        <f t="shared" si="164"/>
        <v>85482063</v>
      </c>
      <c r="AH73" s="24">
        <f t="shared" si="165"/>
        <v>406269109</v>
      </c>
      <c r="AI73" s="24">
        <f t="shared" si="166"/>
        <v>3558105449</v>
      </c>
      <c r="AJ73" s="24">
        <f t="shared" si="167"/>
        <v>1012980914</v>
      </c>
      <c r="AK73" s="24">
        <f t="shared" si="168"/>
        <v>2527109899</v>
      </c>
      <c r="AL73" s="24">
        <f t="shared" si="169"/>
        <v>1239615205</v>
      </c>
      <c r="AM73" s="24">
        <f t="shared" si="170"/>
        <v>68173897</v>
      </c>
      <c r="AN73" s="24">
        <f t="shared" si="171"/>
        <v>404753584</v>
      </c>
      <c r="AO73" s="24">
        <f t="shared" si="172"/>
        <v>3507239718</v>
      </c>
      <c r="AP73" s="24">
        <f t="shared" si="173"/>
        <v>609742855</v>
      </c>
      <c r="AQ73" s="24">
        <f t="shared" si="174"/>
        <v>2415928066</v>
      </c>
      <c r="AR73" s="24">
        <f t="shared" si="175"/>
        <v>4390917</v>
      </c>
      <c r="AS73" s="24">
        <f t="shared" si="176"/>
        <v>1202493485</v>
      </c>
      <c r="AT73" s="24">
        <f t="shared" si="177"/>
        <v>1840576226</v>
      </c>
      <c r="AU73" s="24">
        <f t="shared" si="178"/>
        <v>42532876</v>
      </c>
      <c r="AV73" s="24">
        <f t="shared" si="179"/>
        <v>536885552</v>
      </c>
      <c r="AW73" s="24">
        <f t="shared" si="180"/>
        <v>536875552</v>
      </c>
      <c r="AX73" s="24">
        <f t="shared" si="181"/>
        <v>3344499330</v>
      </c>
      <c r="BA73" s="24">
        <f t="shared" si="182"/>
        <v>579408428</v>
      </c>
      <c r="BB73" s="24">
        <f t="shared" si="183"/>
        <v>3881384882</v>
      </c>
      <c r="BC73" s="24">
        <f t="shared" si="184"/>
        <v>1359168066</v>
      </c>
      <c r="BD73" s="24">
        <f t="shared" si="185"/>
        <v>4227332</v>
      </c>
      <c r="BE73" s="24">
        <f t="shared" si="186"/>
        <v>1887445706</v>
      </c>
      <c r="BF73" s="24">
        <f t="shared" si="187"/>
        <v>1343292544</v>
      </c>
      <c r="BG73" s="24">
        <f t="shared" si="188"/>
        <v>1443889762</v>
      </c>
      <c r="BH73" s="24">
        <f t="shared" si="189"/>
        <v>134219784</v>
      </c>
      <c r="BI73" s="24">
        <f t="shared" si="190"/>
        <v>1342177858</v>
      </c>
      <c r="BJ73" s="24">
        <f t="shared" si="191"/>
        <v>0</v>
      </c>
      <c r="BK73" s="24">
        <f t="shared" si="192"/>
        <v>2006147818</v>
      </c>
      <c r="BL73" s="24">
        <f t="shared" si="193"/>
        <v>1481739660</v>
      </c>
      <c r="BM73" s="24">
        <f>MOD(R72+AF73+BB73+'📦 Константы SHA-512'!D71+BI267,4294967296)</f>
        <v>3315644477</v>
      </c>
      <c r="BN73" s="24">
        <f>INT((R72+AF73+BB73+'📦 Константы SHA-512'!D71+BI267)/4294967296)</f>
        <v>3</v>
      </c>
      <c r="BO73" s="24">
        <f>MOD(Q72+AE73+BA73+'📦 Константы SHA-512'!C71+BH267+BN73,4294967296)</f>
        <v>1228136725</v>
      </c>
      <c r="BP73" s="24" t="s">
        <v>365</v>
      </c>
      <c r="BQ73" s="24">
        <f t="shared" si="194"/>
        <v>3322315886</v>
      </c>
      <c r="BR73" s="24">
        <f t="shared" si="195"/>
        <v>0</v>
      </c>
      <c r="BS73" s="24">
        <f t="shared" si="196"/>
        <v>3208641303</v>
      </c>
      <c r="BU73" s="24">
        <f t="shared" si="197"/>
        <v>2071211407</v>
      </c>
      <c r="BV73" s="24">
        <f t="shared" si="198"/>
        <v>2871988417</v>
      </c>
      <c r="BW73" s="24">
        <f t="shared" si="199"/>
        <v>141810733</v>
      </c>
      <c r="BX73" s="24">
        <f t="shared" si="200"/>
        <v>2342993067</v>
      </c>
    </row>
    <row r="74" spans="2:76" ht="12.75" customHeight="1" x14ac:dyDescent="0.25">
      <c r="B74" s="39">
        <v>69</v>
      </c>
      <c r="C74" s="32">
        <f t="shared" si="134"/>
        <v>2722119620</v>
      </c>
      <c r="D74" s="32">
        <f t="shared" si="135"/>
        <v>4251747556</v>
      </c>
      <c r="E74" s="32">
        <f t="shared" si="136"/>
        <v>141810733</v>
      </c>
      <c r="F74" s="32">
        <f t="shared" si="137"/>
        <v>2342993067</v>
      </c>
      <c r="G74" s="32">
        <f t="shared" si="138"/>
        <v>4051923659</v>
      </c>
      <c r="H74" s="32">
        <f t="shared" si="139"/>
        <v>1347519908</v>
      </c>
      <c r="I74" s="32">
        <f t="shared" si="140"/>
        <v>1461404278</v>
      </c>
      <c r="J74" s="32">
        <f t="shared" si="141"/>
        <v>146840396</v>
      </c>
      <c r="K74" s="32">
        <f t="shared" si="142"/>
        <v>1146375261</v>
      </c>
      <c r="L74" s="32">
        <f t="shared" si="143"/>
        <v>1536459110</v>
      </c>
      <c r="M74" s="32">
        <f t="shared" si="144"/>
        <v>2071211407</v>
      </c>
      <c r="N74" s="32">
        <f t="shared" si="145"/>
        <v>2871988417</v>
      </c>
      <c r="O74" s="32">
        <f t="shared" si="146"/>
        <v>3690980748</v>
      </c>
      <c r="P74" s="32">
        <f t="shared" si="147"/>
        <v>947927353</v>
      </c>
      <c r="Q74" s="32">
        <f t="shared" si="148"/>
        <v>646515213</v>
      </c>
      <c r="R74" s="32">
        <f t="shared" si="149"/>
        <v>1695152948</v>
      </c>
      <c r="S74" s="24">
        <f t="shared" si="150"/>
        <v>1124462032</v>
      </c>
      <c r="T74" s="24">
        <f t="shared" si="151"/>
        <v>3057560764</v>
      </c>
      <c r="U74" s="24">
        <f t="shared" si="152"/>
        <v>3291504349</v>
      </c>
      <c r="V74" s="24">
        <f t="shared" si="153"/>
        <v>191097547</v>
      </c>
      <c r="W74" s="24">
        <f t="shared" si="154"/>
        <v>3352663944</v>
      </c>
      <c r="X74" s="24">
        <f t="shared" si="155"/>
        <v>1623046678</v>
      </c>
      <c r="Y74" s="24">
        <f t="shared" si="156"/>
        <v>1073761488</v>
      </c>
      <c r="Z74" s="24">
        <f t="shared" si="157"/>
        <v>35825800</v>
      </c>
      <c r="AA74" s="24">
        <f t="shared" si="158"/>
        <v>2268443405</v>
      </c>
      <c r="AB74" s="24">
        <f t="shared" si="159"/>
        <v>3177006711</v>
      </c>
      <c r="AC74" s="24">
        <f t="shared" si="160"/>
        <v>2266338056</v>
      </c>
      <c r="AD74" s="24">
        <f t="shared" si="161"/>
        <v>538771990</v>
      </c>
      <c r="AE74" s="24">
        <f t="shared" si="162"/>
        <v>1088431237</v>
      </c>
      <c r="AF74" s="24">
        <f t="shared" si="163"/>
        <v>3722509409</v>
      </c>
      <c r="AG74" s="24">
        <f t="shared" si="164"/>
        <v>3128150704</v>
      </c>
      <c r="AH74" s="24">
        <f t="shared" si="165"/>
        <v>2268971736</v>
      </c>
      <c r="AI74" s="24">
        <f t="shared" si="166"/>
        <v>1659490090</v>
      </c>
      <c r="AJ74" s="24">
        <f t="shared" si="167"/>
        <v>3256678155</v>
      </c>
      <c r="AK74" s="24">
        <f t="shared" si="168"/>
        <v>1528254073</v>
      </c>
      <c r="AL74" s="24">
        <f t="shared" si="169"/>
        <v>1443948472</v>
      </c>
      <c r="AM74" s="24">
        <f t="shared" si="170"/>
        <v>576834080</v>
      </c>
      <c r="AN74" s="24">
        <f t="shared" si="171"/>
        <v>2182922760</v>
      </c>
      <c r="AO74" s="24">
        <f t="shared" si="172"/>
        <v>3633972634</v>
      </c>
      <c r="AP74" s="24">
        <f t="shared" si="173"/>
        <v>1159804371</v>
      </c>
      <c r="AQ74" s="24">
        <f t="shared" si="174"/>
        <v>1477575704</v>
      </c>
      <c r="AR74" s="24">
        <f t="shared" si="175"/>
        <v>1140860304</v>
      </c>
      <c r="AS74" s="24">
        <f t="shared" si="176"/>
        <v>2207075299</v>
      </c>
      <c r="AT74" s="24">
        <f t="shared" si="177"/>
        <v>322032235</v>
      </c>
      <c r="AU74" s="24">
        <f t="shared" si="178"/>
        <v>1534338444</v>
      </c>
      <c r="AV74" s="24">
        <f t="shared" si="179"/>
        <v>671092737</v>
      </c>
      <c r="AW74" s="24">
        <f t="shared" si="180"/>
        <v>76087808</v>
      </c>
      <c r="AX74" s="24">
        <f t="shared" si="181"/>
        <v>1140910900</v>
      </c>
      <c r="BA74" s="24">
        <f t="shared" si="182"/>
        <v>1610426252</v>
      </c>
      <c r="BB74" s="24">
        <f t="shared" si="183"/>
        <v>1812003637</v>
      </c>
      <c r="BC74" s="24">
        <f t="shared" si="184"/>
        <v>217097</v>
      </c>
      <c r="BD74" s="24">
        <f t="shared" si="185"/>
        <v>66720</v>
      </c>
      <c r="BE74" s="24">
        <f t="shared" si="186"/>
        <v>1261604</v>
      </c>
      <c r="BF74" s="24">
        <f t="shared" si="187"/>
        <v>142612488</v>
      </c>
      <c r="BG74" s="24">
        <f t="shared" si="188"/>
        <v>1359168066</v>
      </c>
      <c r="BH74" s="24">
        <f t="shared" si="189"/>
        <v>4227332</v>
      </c>
      <c r="BI74" s="24">
        <f t="shared" si="190"/>
        <v>212992</v>
      </c>
      <c r="BJ74" s="24">
        <f t="shared" si="191"/>
        <v>0</v>
      </c>
      <c r="BK74" s="24">
        <f t="shared" si="192"/>
        <v>1360220783</v>
      </c>
      <c r="BL74" s="24">
        <f t="shared" si="193"/>
        <v>146906540</v>
      </c>
      <c r="BM74" s="24">
        <f>MOD(R73+AF74+BB74+'📦 Константы SHA-512'!D72+BI268,4294967296)</f>
        <v>3782808781</v>
      </c>
      <c r="BN74" s="24">
        <f>INT((R73+AF74+BB74+'📦 Константы SHA-512'!D72+BI268)/4294967296)</f>
        <v>2</v>
      </c>
      <c r="BO74" s="24">
        <f>MOD(Q73+AE74+BA74+'📦 Константы SHA-512'!C72+BH268+BN74,4294967296)</f>
        <v>3449790834</v>
      </c>
      <c r="BP74" s="24" t="s">
        <v>366</v>
      </c>
      <c r="BQ74" s="24">
        <f t="shared" si="194"/>
        <v>468938775</v>
      </c>
      <c r="BR74" s="24">
        <f t="shared" si="195"/>
        <v>0</v>
      </c>
      <c r="BS74" s="24">
        <f t="shared" si="196"/>
        <v>3567296082</v>
      </c>
      <c r="BU74" s="24">
        <f t="shared" si="197"/>
        <v>1146375261</v>
      </c>
      <c r="BV74" s="24">
        <f t="shared" si="198"/>
        <v>1536459110</v>
      </c>
      <c r="BW74" s="24">
        <f t="shared" si="199"/>
        <v>2722119620</v>
      </c>
      <c r="BX74" s="24">
        <f t="shared" si="200"/>
        <v>4251747556</v>
      </c>
    </row>
    <row r="75" spans="2:76" ht="12.75" customHeight="1" x14ac:dyDescent="0.25">
      <c r="B75" s="41">
        <v>70</v>
      </c>
      <c r="C75" s="34">
        <f t="shared" si="134"/>
        <v>390186084</v>
      </c>
      <c r="D75" s="34">
        <f t="shared" si="135"/>
        <v>2093927910</v>
      </c>
      <c r="E75" s="34">
        <f t="shared" si="136"/>
        <v>2722119620</v>
      </c>
      <c r="F75" s="34">
        <f t="shared" si="137"/>
        <v>4251747556</v>
      </c>
      <c r="G75" s="34">
        <f t="shared" si="138"/>
        <v>141810733</v>
      </c>
      <c r="H75" s="34">
        <f t="shared" si="139"/>
        <v>2342993067</v>
      </c>
      <c r="I75" s="34">
        <f t="shared" si="140"/>
        <v>4051923659</v>
      </c>
      <c r="J75" s="34">
        <f t="shared" si="141"/>
        <v>1347519908</v>
      </c>
      <c r="K75" s="34">
        <f t="shared" si="142"/>
        <v>1840238993</v>
      </c>
      <c r="L75" s="34">
        <f t="shared" si="143"/>
        <v>3864162509</v>
      </c>
      <c r="M75" s="34">
        <f t="shared" si="144"/>
        <v>1146375261</v>
      </c>
      <c r="N75" s="34">
        <f t="shared" si="145"/>
        <v>1536459110</v>
      </c>
      <c r="O75" s="34">
        <f t="shared" si="146"/>
        <v>2071211407</v>
      </c>
      <c r="P75" s="34">
        <f t="shared" si="147"/>
        <v>2871988417</v>
      </c>
      <c r="Q75" s="34">
        <f t="shared" si="148"/>
        <v>3690980748</v>
      </c>
      <c r="R75" s="34">
        <f t="shared" si="149"/>
        <v>947927353</v>
      </c>
      <c r="S75" s="24">
        <f t="shared" si="150"/>
        <v>93917521</v>
      </c>
      <c r="T75" s="24">
        <f t="shared" si="151"/>
        <v>829779538</v>
      </c>
      <c r="U75" s="24">
        <f t="shared" si="152"/>
        <v>542740757</v>
      </c>
      <c r="V75" s="24">
        <f t="shared" si="153"/>
        <v>320296677</v>
      </c>
      <c r="W75" s="24">
        <f t="shared" si="154"/>
        <v>783141440</v>
      </c>
      <c r="X75" s="24">
        <f t="shared" si="155"/>
        <v>3005360678</v>
      </c>
      <c r="Y75" s="24">
        <f t="shared" si="156"/>
        <v>1642769</v>
      </c>
      <c r="Z75" s="24">
        <f t="shared" si="157"/>
        <v>286606912</v>
      </c>
      <c r="AA75" s="24">
        <f t="shared" si="158"/>
        <v>633372740</v>
      </c>
      <c r="AB75" s="24">
        <f t="shared" si="159"/>
        <v>576862391</v>
      </c>
      <c r="AC75" s="24">
        <f t="shared" si="160"/>
        <v>612401216</v>
      </c>
      <c r="AD75" s="24">
        <f t="shared" si="161"/>
        <v>572663846</v>
      </c>
      <c r="AE75" s="24">
        <f t="shared" si="162"/>
        <v>191711748</v>
      </c>
      <c r="AF75" s="24">
        <f t="shared" si="163"/>
        <v>2436895377</v>
      </c>
      <c r="AG75" s="24">
        <f t="shared" si="164"/>
        <v>3603451466</v>
      </c>
      <c r="AH75" s="24">
        <f t="shared" si="165"/>
        <v>604240975</v>
      </c>
      <c r="AI75" s="24">
        <f t="shared" si="166"/>
        <v>1062936889</v>
      </c>
      <c r="AJ75" s="24">
        <f t="shared" si="167"/>
        <v>680529905</v>
      </c>
      <c r="AK75" s="24">
        <f t="shared" si="168"/>
        <v>2314918153</v>
      </c>
      <c r="AL75" s="24">
        <f t="shared" si="169"/>
        <v>3376709759</v>
      </c>
      <c r="AM75" s="24">
        <f t="shared" si="170"/>
        <v>373817352</v>
      </c>
      <c r="AN75" s="24">
        <f t="shared" si="171"/>
        <v>536874049</v>
      </c>
      <c r="AO75" s="24">
        <f t="shared" si="172"/>
        <v>3918753651</v>
      </c>
      <c r="AP75" s="24">
        <f t="shared" si="173"/>
        <v>211022782</v>
      </c>
      <c r="AQ75" s="24">
        <f t="shared" si="174"/>
        <v>2308065537</v>
      </c>
      <c r="AR75" s="24">
        <f t="shared" si="175"/>
        <v>134250558</v>
      </c>
      <c r="AS75" s="24">
        <f t="shared" si="176"/>
        <v>1617540730</v>
      </c>
      <c r="AT75" s="24">
        <f t="shared" si="177"/>
        <v>3319231425</v>
      </c>
      <c r="AU75" s="24">
        <f t="shared" si="178"/>
        <v>1079249933</v>
      </c>
      <c r="AV75" s="24">
        <f t="shared" si="179"/>
        <v>184811584</v>
      </c>
      <c r="AW75" s="24">
        <f t="shared" si="180"/>
        <v>2611716480</v>
      </c>
      <c r="AX75" s="24">
        <f t="shared" si="181"/>
        <v>536885273</v>
      </c>
      <c r="BA75" s="24">
        <f t="shared" si="182"/>
        <v>3690966413</v>
      </c>
      <c r="BB75" s="24">
        <f t="shared" si="183"/>
        <v>721696857</v>
      </c>
      <c r="BC75" s="24">
        <f t="shared" si="184"/>
        <v>4201476</v>
      </c>
      <c r="BD75" s="24">
        <f t="shared" si="185"/>
        <v>2300839072</v>
      </c>
      <c r="BE75" s="24">
        <f t="shared" si="186"/>
        <v>2684367552</v>
      </c>
      <c r="BF75" s="24">
        <f t="shared" si="187"/>
        <v>1346405540</v>
      </c>
      <c r="BG75" s="24">
        <f t="shared" si="188"/>
        <v>217097</v>
      </c>
      <c r="BH75" s="24">
        <f t="shared" si="189"/>
        <v>66720</v>
      </c>
      <c r="BI75" s="24">
        <f t="shared" si="190"/>
        <v>4096</v>
      </c>
      <c r="BJ75" s="24">
        <f t="shared" si="191"/>
        <v>1184</v>
      </c>
      <c r="BK75" s="24">
        <f t="shared" si="192"/>
        <v>2688777933</v>
      </c>
      <c r="BL75" s="24">
        <f t="shared" si="193"/>
        <v>3647308964</v>
      </c>
      <c r="BM75" s="24">
        <f>MOD(R74+AF75+BB75+'📦 Константы SHA-512'!D73+BI269,4294967296)</f>
        <v>3717322113</v>
      </c>
      <c r="BN75" s="24">
        <f>INT((R74+AF75+BB75+'📦 Константы SHA-512'!D73+BI269)/4294967296)</f>
        <v>1</v>
      </c>
      <c r="BO75" s="24">
        <f>MOD(Q74+AE75+BA75+'📦 Константы SHA-512'!C73+BH269+BN75,4294967296)</f>
        <v>378834715</v>
      </c>
      <c r="BP75" s="24" t="s">
        <v>367</v>
      </c>
      <c r="BQ75" s="24">
        <f t="shared" si="194"/>
        <v>2671573093</v>
      </c>
      <c r="BR75" s="24">
        <f t="shared" si="195"/>
        <v>1</v>
      </c>
      <c r="BS75" s="24">
        <f t="shared" si="196"/>
        <v>11351368</v>
      </c>
      <c r="BU75" s="24">
        <f t="shared" si="197"/>
        <v>1840238993</v>
      </c>
      <c r="BV75" s="24">
        <f t="shared" si="198"/>
        <v>3864162509</v>
      </c>
      <c r="BW75" s="24">
        <f t="shared" si="199"/>
        <v>390186084</v>
      </c>
      <c r="BX75" s="24">
        <f t="shared" si="200"/>
        <v>2093927910</v>
      </c>
    </row>
    <row r="76" spans="2:76" ht="12.75" customHeight="1" x14ac:dyDescent="0.25">
      <c r="B76" s="43">
        <v>71</v>
      </c>
      <c r="C76" s="36">
        <f t="shared" si="134"/>
        <v>4043520453</v>
      </c>
      <c r="D76" s="36">
        <f t="shared" si="135"/>
        <v>275075549</v>
      </c>
      <c r="E76" s="36">
        <f t="shared" si="136"/>
        <v>390186084</v>
      </c>
      <c r="F76" s="36">
        <f t="shared" si="137"/>
        <v>2093927910</v>
      </c>
      <c r="G76" s="36">
        <f t="shared" si="138"/>
        <v>2722119620</v>
      </c>
      <c r="H76" s="36">
        <f t="shared" si="139"/>
        <v>4251747556</v>
      </c>
      <c r="I76" s="36">
        <f t="shared" si="140"/>
        <v>141810733</v>
      </c>
      <c r="J76" s="36">
        <f t="shared" si="141"/>
        <v>2342993067</v>
      </c>
      <c r="K76" s="36">
        <f t="shared" si="142"/>
        <v>3307069352</v>
      </c>
      <c r="L76" s="36">
        <f t="shared" si="143"/>
        <v>619025861</v>
      </c>
      <c r="M76" s="36">
        <f t="shared" si="144"/>
        <v>1840238993</v>
      </c>
      <c r="N76" s="36">
        <f t="shared" si="145"/>
        <v>3864162509</v>
      </c>
      <c r="O76" s="36">
        <f t="shared" si="146"/>
        <v>1146375261</v>
      </c>
      <c r="P76" s="36">
        <f t="shared" si="147"/>
        <v>1536459110</v>
      </c>
      <c r="Q76" s="36">
        <f t="shared" si="148"/>
        <v>2071211407</v>
      </c>
      <c r="R76" s="36">
        <f t="shared" si="149"/>
        <v>2871988417</v>
      </c>
      <c r="S76" s="24">
        <f t="shared" si="150"/>
        <v>3275077311</v>
      </c>
      <c r="T76" s="24">
        <f t="shared" si="151"/>
        <v>1179097417</v>
      </c>
      <c r="U76" s="24">
        <f t="shared" si="152"/>
        <v>2620611435</v>
      </c>
      <c r="V76" s="24">
        <f t="shared" si="153"/>
        <v>4100225428</v>
      </c>
      <c r="W76" s="24">
        <f t="shared" si="154"/>
        <v>3371379000</v>
      </c>
      <c r="X76" s="24">
        <f t="shared" si="155"/>
        <v>1723258856</v>
      </c>
      <c r="Y76" s="24">
        <f t="shared" si="156"/>
        <v>2150699563</v>
      </c>
      <c r="Z76" s="24">
        <f t="shared" si="157"/>
        <v>1145313536</v>
      </c>
      <c r="AA76" s="24">
        <f t="shared" si="158"/>
        <v>1594289620</v>
      </c>
      <c r="AB76" s="24">
        <f t="shared" si="159"/>
        <v>2988695773</v>
      </c>
      <c r="AC76" s="24">
        <f t="shared" si="160"/>
        <v>1208101136</v>
      </c>
      <c r="AD76" s="24">
        <f t="shared" si="161"/>
        <v>572702920</v>
      </c>
      <c r="AE76" s="24">
        <f t="shared" si="162"/>
        <v>2549466348</v>
      </c>
      <c r="AF76" s="24">
        <f t="shared" si="163"/>
        <v>3566548789</v>
      </c>
      <c r="AG76" s="24">
        <f t="shared" si="164"/>
        <v>3438075489</v>
      </c>
      <c r="AH76" s="24">
        <f t="shared" si="165"/>
        <v>1948010055</v>
      </c>
      <c r="AI76" s="24">
        <f t="shared" si="166"/>
        <v>523481977</v>
      </c>
      <c r="AJ76" s="24">
        <f t="shared" si="167"/>
        <v>2245030169</v>
      </c>
      <c r="AK76" s="24">
        <f t="shared" si="168"/>
        <v>3371802011</v>
      </c>
      <c r="AL76" s="24">
        <f t="shared" si="169"/>
        <v>3425600392</v>
      </c>
      <c r="AM76" s="24">
        <f t="shared" si="170"/>
        <v>203461217</v>
      </c>
      <c r="AN76" s="24">
        <f t="shared" si="171"/>
        <v>68173825</v>
      </c>
      <c r="AO76" s="24">
        <f t="shared" si="172"/>
        <v>3554635032</v>
      </c>
      <c r="AP76" s="24">
        <f t="shared" si="173"/>
        <v>4056692574</v>
      </c>
      <c r="AQ76" s="24">
        <f t="shared" si="174"/>
        <v>3235450136</v>
      </c>
      <c r="AR76" s="24">
        <f t="shared" si="175"/>
        <v>3222012680</v>
      </c>
      <c r="AS76" s="24">
        <f t="shared" si="176"/>
        <v>455536771</v>
      </c>
      <c r="AT76" s="24">
        <f t="shared" si="177"/>
        <v>1038267606</v>
      </c>
      <c r="AU76" s="24">
        <f t="shared" si="178"/>
        <v>1141129233</v>
      </c>
      <c r="AV76" s="24">
        <f t="shared" si="179"/>
        <v>1108344900</v>
      </c>
      <c r="AW76" s="24">
        <f t="shared" si="180"/>
        <v>307244046</v>
      </c>
      <c r="AX76" s="24">
        <f t="shared" si="181"/>
        <v>153944064</v>
      </c>
      <c r="BA76" s="24">
        <f t="shared" si="182"/>
        <v>1448373279</v>
      </c>
      <c r="BB76" s="24">
        <f t="shared" si="183"/>
        <v>1262288964</v>
      </c>
      <c r="BC76" s="24">
        <f t="shared" si="184"/>
        <v>37749828</v>
      </c>
      <c r="BD76" s="24">
        <f t="shared" si="185"/>
        <v>2085389540</v>
      </c>
      <c r="BE76" s="24">
        <f t="shared" si="186"/>
        <v>4310052</v>
      </c>
      <c r="BF76" s="24">
        <f t="shared" si="187"/>
        <v>143002786</v>
      </c>
      <c r="BG76" s="24">
        <f t="shared" si="188"/>
        <v>4201476</v>
      </c>
      <c r="BH76" s="24">
        <f t="shared" si="189"/>
        <v>2300839072</v>
      </c>
      <c r="BI76" s="24">
        <f t="shared" si="190"/>
        <v>4195332</v>
      </c>
      <c r="BJ76" s="24">
        <f t="shared" si="191"/>
        <v>134481056</v>
      </c>
      <c r="BK76" s="24">
        <f t="shared" si="192"/>
        <v>37870692</v>
      </c>
      <c r="BL76" s="24">
        <f t="shared" si="193"/>
        <v>4260269286</v>
      </c>
      <c r="BM76" s="24">
        <f>MOD(R75+AF76+BB76+'📦 Константы SHA-512'!D74+BI270,4294967296)</f>
        <v>3566473249</v>
      </c>
      <c r="BN76" s="24">
        <f>INT((R75+AF76+BB76+'📦 Константы SHA-512'!D74+BI270)/4294967296)</f>
        <v>2</v>
      </c>
      <c r="BO76" s="24">
        <f>MOD(Q75+AE76+BA76+'📦 Константы SHA-512'!C74+BH270+BN76,4294967296)</f>
        <v>3550112988</v>
      </c>
      <c r="BP76" s="24" t="s">
        <v>368</v>
      </c>
      <c r="BQ76" s="24">
        <f t="shared" si="194"/>
        <v>1003569596</v>
      </c>
      <c r="BR76" s="24">
        <f t="shared" si="195"/>
        <v>1</v>
      </c>
      <c r="BS76" s="24">
        <f t="shared" si="196"/>
        <v>493407464</v>
      </c>
      <c r="BU76" s="24">
        <f t="shared" si="197"/>
        <v>3307069352</v>
      </c>
      <c r="BV76" s="24">
        <f t="shared" si="198"/>
        <v>619025861</v>
      </c>
      <c r="BW76" s="24">
        <f t="shared" si="199"/>
        <v>4043520453</v>
      </c>
      <c r="BX76" s="24">
        <f t="shared" si="200"/>
        <v>275075549</v>
      </c>
    </row>
    <row r="77" spans="2:76" ht="12.75" customHeight="1" x14ac:dyDescent="0.25">
      <c r="B77" s="20">
        <v>72</v>
      </c>
      <c r="C77" s="38">
        <f t="shared" si="134"/>
        <v>1437459803</v>
      </c>
      <c r="D77" s="38">
        <f t="shared" si="135"/>
        <v>3622364461</v>
      </c>
      <c r="E77" s="38">
        <f t="shared" si="136"/>
        <v>4043520453</v>
      </c>
      <c r="F77" s="38">
        <f t="shared" si="137"/>
        <v>275075549</v>
      </c>
      <c r="G77" s="38">
        <f t="shared" si="138"/>
        <v>390186084</v>
      </c>
      <c r="H77" s="38">
        <f t="shared" si="139"/>
        <v>2093927910</v>
      </c>
      <c r="I77" s="38">
        <f t="shared" si="140"/>
        <v>2722119620</v>
      </c>
      <c r="J77" s="38">
        <f t="shared" si="141"/>
        <v>4251747556</v>
      </c>
      <c r="K77" s="38">
        <f t="shared" si="142"/>
        <v>3799253177</v>
      </c>
      <c r="L77" s="38">
        <f t="shared" si="143"/>
        <v>261228449</v>
      </c>
      <c r="M77" s="38">
        <f t="shared" si="144"/>
        <v>3307069352</v>
      </c>
      <c r="N77" s="38">
        <f t="shared" si="145"/>
        <v>619025861</v>
      </c>
      <c r="O77" s="38">
        <f t="shared" si="146"/>
        <v>1840238993</v>
      </c>
      <c r="P77" s="38">
        <f t="shared" si="147"/>
        <v>3864162509</v>
      </c>
      <c r="Q77" s="38">
        <f t="shared" si="148"/>
        <v>1146375261</v>
      </c>
      <c r="R77" s="38">
        <f t="shared" si="149"/>
        <v>1536459110</v>
      </c>
      <c r="S77" s="24">
        <f t="shared" si="150"/>
        <v>1461130359</v>
      </c>
      <c r="T77" s="24">
        <f t="shared" si="151"/>
        <v>2124452758</v>
      </c>
      <c r="U77" s="24">
        <f t="shared" si="152"/>
        <v>1701933383</v>
      </c>
      <c r="V77" s="24">
        <f t="shared" si="153"/>
        <v>2011826489</v>
      </c>
      <c r="W77" s="24">
        <f t="shared" si="154"/>
        <v>3557978826</v>
      </c>
      <c r="X77" s="24">
        <f t="shared" si="155"/>
        <v>3806498543</v>
      </c>
      <c r="Y77" s="24">
        <f t="shared" si="156"/>
        <v>1158746183</v>
      </c>
      <c r="Z77" s="24">
        <f t="shared" si="157"/>
        <v>1990197520</v>
      </c>
      <c r="AA77" s="24">
        <f t="shared" si="158"/>
        <v>845571376</v>
      </c>
      <c r="AB77" s="24">
        <f t="shared" si="159"/>
        <v>155884207</v>
      </c>
      <c r="AC77" s="24">
        <f t="shared" si="160"/>
        <v>268591104</v>
      </c>
      <c r="AD77" s="24">
        <f t="shared" si="161"/>
        <v>4360879</v>
      </c>
      <c r="AE77" s="24">
        <f t="shared" si="162"/>
        <v>3866367994</v>
      </c>
      <c r="AF77" s="24">
        <f t="shared" si="163"/>
        <v>3953660992</v>
      </c>
      <c r="AG77" s="24">
        <f t="shared" si="164"/>
        <v>106241503</v>
      </c>
      <c r="AH77" s="24">
        <f t="shared" si="165"/>
        <v>271817809</v>
      </c>
      <c r="AI77" s="24">
        <f t="shared" si="166"/>
        <v>1142510711</v>
      </c>
      <c r="AJ77" s="24">
        <f t="shared" si="167"/>
        <v>2084621937</v>
      </c>
      <c r="AK77" s="24">
        <f t="shared" si="168"/>
        <v>2317404835</v>
      </c>
      <c r="AL77" s="24">
        <f t="shared" si="169"/>
        <v>3152152179</v>
      </c>
      <c r="AM77" s="24">
        <f t="shared" si="170"/>
        <v>68228183</v>
      </c>
      <c r="AN77" s="24">
        <f t="shared" si="171"/>
        <v>268471377</v>
      </c>
      <c r="AO77" s="24">
        <f t="shared" si="172"/>
        <v>1112295848</v>
      </c>
      <c r="AP77" s="24">
        <f t="shared" si="173"/>
        <v>1819496992</v>
      </c>
      <c r="AQ77" s="24">
        <f t="shared" si="174"/>
        <v>33573024</v>
      </c>
      <c r="AR77" s="24">
        <f t="shared" si="175"/>
        <v>677511712</v>
      </c>
      <c r="AS77" s="24">
        <f t="shared" si="176"/>
        <v>3362554635</v>
      </c>
      <c r="AT77" s="24">
        <f t="shared" si="177"/>
        <v>3616625747</v>
      </c>
      <c r="AU77" s="24">
        <f t="shared" si="178"/>
        <v>1158533504</v>
      </c>
      <c r="AV77" s="24">
        <f t="shared" si="179"/>
        <v>608178373</v>
      </c>
      <c r="AW77" s="24">
        <f t="shared" si="180"/>
        <v>4194389</v>
      </c>
      <c r="AX77" s="24">
        <f t="shared" si="181"/>
        <v>1527775266</v>
      </c>
      <c r="BA77" s="24">
        <f t="shared" si="182"/>
        <v>1162727893</v>
      </c>
      <c r="BB77" s="24">
        <f t="shared" si="183"/>
        <v>2135953639</v>
      </c>
      <c r="BC77" s="24">
        <f t="shared" si="184"/>
        <v>285278276</v>
      </c>
      <c r="BD77" s="24">
        <f t="shared" si="185"/>
        <v>272908740</v>
      </c>
      <c r="BE77" s="24">
        <f t="shared" si="186"/>
        <v>2684369348</v>
      </c>
      <c r="BF77" s="24">
        <f t="shared" si="187"/>
        <v>274989252</v>
      </c>
      <c r="BG77" s="24">
        <f t="shared" si="188"/>
        <v>37749828</v>
      </c>
      <c r="BH77" s="24">
        <f t="shared" si="189"/>
        <v>2085389540</v>
      </c>
      <c r="BI77" s="24">
        <f t="shared" si="190"/>
        <v>68</v>
      </c>
      <c r="BJ77" s="24">
        <f t="shared" si="191"/>
        <v>272892100</v>
      </c>
      <c r="BK77" s="24">
        <f t="shared" si="192"/>
        <v>3007397316</v>
      </c>
      <c r="BL77" s="24">
        <f t="shared" si="193"/>
        <v>2087503332</v>
      </c>
      <c r="BM77" s="24">
        <f>MOD(R76+AF77+BB77+'📦 Константы SHA-512'!D75+BI271,4294967296)</f>
        <v>2213202678</v>
      </c>
      <c r="BN77" s="24">
        <f>INT((R76+AF77+BB77+'📦 Константы SHA-512'!D75+BI271)/4294967296)</f>
        <v>2</v>
      </c>
      <c r="BO77" s="24">
        <f>MOD(Q76+AE77+BA77+'📦 Константы SHA-512'!C75+BH271+BN77,4294967296)</f>
        <v>3657442443</v>
      </c>
      <c r="BP77" s="24" t="s">
        <v>369</v>
      </c>
      <c r="BQ77" s="24">
        <f t="shared" si="194"/>
        <v>1409161783</v>
      </c>
      <c r="BR77" s="24">
        <f t="shared" si="195"/>
        <v>1</v>
      </c>
      <c r="BS77" s="24">
        <f t="shared" si="196"/>
        <v>2074984656</v>
      </c>
      <c r="BU77" s="24">
        <f t="shared" si="197"/>
        <v>3799253177</v>
      </c>
      <c r="BV77" s="24">
        <f t="shared" si="198"/>
        <v>261228449</v>
      </c>
      <c r="BW77" s="24">
        <f t="shared" si="199"/>
        <v>1437459803</v>
      </c>
      <c r="BX77" s="24">
        <f t="shared" si="200"/>
        <v>3622364461</v>
      </c>
    </row>
    <row r="78" spans="2:76" ht="12.75" customHeight="1" x14ac:dyDescent="0.25">
      <c r="B78" s="46">
        <v>73</v>
      </c>
      <c r="C78" s="40">
        <f t="shared" si="134"/>
        <v>2539033202</v>
      </c>
      <c r="D78" s="40">
        <f t="shared" si="135"/>
        <v>3796048662</v>
      </c>
      <c r="E78" s="40">
        <f t="shared" si="136"/>
        <v>1437459803</v>
      </c>
      <c r="F78" s="40">
        <f t="shared" si="137"/>
        <v>3622364461</v>
      </c>
      <c r="G78" s="40">
        <f t="shared" si="138"/>
        <v>4043520453</v>
      </c>
      <c r="H78" s="40">
        <f t="shared" si="139"/>
        <v>275075549</v>
      </c>
      <c r="I78" s="40">
        <f t="shared" si="140"/>
        <v>390186084</v>
      </c>
      <c r="J78" s="40">
        <f t="shared" si="141"/>
        <v>2093927910</v>
      </c>
      <c r="K78" s="40">
        <f t="shared" si="142"/>
        <v>2813932190</v>
      </c>
      <c r="L78" s="40">
        <f t="shared" si="143"/>
        <v>899965676</v>
      </c>
      <c r="M78" s="40">
        <f t="shared" si="144"/>
        <v>3799253177</v>
      </c>
      <c r="N78" s="40">
        <f t="shared" si="145"/>
        <v>261228449</v>
      </c>
      <c r="O78" s="40">
        <f t="shared" si="146"/>
        <v>3307069352</v>
      </c>
      <c r="P78" s="40">
        <f t="shared" si="147"/>
        <v>619025861</v>
      </c>
      <c r="Q78" s="40">
        <f t="shared" si="148"/>
        <v>1840238993</v>
      </c>
      <c r="R78" s="40">
        <f t="shared" si="149"/>
        <v>3864162509</v>
      </c>
      <c r="S78" s="24">
        <f t="shared" si="150"/>
        <v>512199120</v>
      </c>
      <c r="T78" s="24">
        <f t="shared" si="151"/>
        <v>48512584</v>
      </c>
      <c r="U78" s="24">
        <f t="shared" si="152"/>
        <v>2179496093</v>
      </c>
      <c r="V78" s="24">
        <f t="shared" si="153"/>
        <v>3032036</v>
      </c>
      <c r="W78" s="24">
        <f t="shared" si="154"/>
        <v>1552402691</v>
      </c>
      <c r="X78" s="24">
        <f t="shared" si="155"/>
        <v>3505469952</v>
      </c>
      <c r="Y78" s="24">
        <f t="shared" si="156"/>
        <v>8390800</v>
      </c>
      <c r="Z78" s="24">
        <f t="shared" si="157"/>
        <v>2359872</v>
      </c>
      <c r="AA78" s="24">
        <f t="shared" si="158"/>
        <v>2674913613</v>
      </c>
      <c r="AB78" s="24">
        <f t="shared" si="159"/>
        <v>46824876</v>
      </c>
      <c r="AC78" s="24">
        <f t="shared" si="160"/>
        <v>470270209</v>
      </c>
      <c r="AD78" s="24">
        <f t="shared" si="161"/>
        <v>12597248</v>
      </c>
      <c r="AE78" s="24">
        <f t="shared" si="162"/>
        <v>3286775886</v>
      </c>
      <c r="AF78" s="24">
        <f t="shared" si="163"/>
        <v>3527100332</v>
      </c>
      <c r="AG78" s="24">
        <f t="shared" si="164"/>
        <v>2123256533</v>
      </c>
      <c r="AH78" s="24">
        <f t="shared" si="165"/>
        <v>1524520381</v>
      </c>
      <c r="AI78" s="24">
        <f t="shared" si="166"/>
        <v>4126816587</v>
      </c>
      <c r="AJ78" s="24">
        <f t="shared" si="167"/>
        <v>1433106774</v>
      </c>
      <c r="AK78" s="24">
        <f t="shared" si="168"/>
        <v>3081753034</v>
      </c>
      <c r="AL78" s="24">
        <f t="shared" si="169"/>
        <v>1521179594</v>
      </c>
      <c r="AM78" s="24">
        <f t="shared" si="170"/>
        <v>1955205185</v>
      </c>
      <c r="AN78" s="24">
        <f t="shared" si="171"/>
        <v>1347047700</v>
      </c>
      <c r="AO78" s="24">
        <f t="shared" si="172"/>
        <v>2339662750</v>
      </c>
      <c r="AP78" s="24">
        <f t="shared" si="173"/>
        <v>263531755</v>
      </c>
      <c r="AQ78" s="24">
        <f t="shared" si="174"/>
        <v>2200191370</v>
      </c>
      <c r="AR78" s="24">
        <f t="shared" si="175"/>
        <v>178325706</v>
      </c>
      <c r="AS78" s="24">
        <f t="shared" si="176"/>
        <v>1021033044</v>
      </c>
      <c r="AT78" s="24">
        <f t="shared" si="177"/>
        <v>1428059937</v>
      </c>
      <c r="AU78" s="24">
        <f t="shared" si="178"/>
        <v>3222536360</v>
      </c>
      <c r="AV78" s="24">
        <f t="shared" si="179"/>
        <v>75498881</v>
      </c>
      <c r="AW78" s="24">
        <f t="shared" si="180"/>
        <v>227266816</v>
      </c>
      <c r="AX78" s="24">
        <f t="shared" si="181"/>
        <v>3762319436</v>
      </c>
      <c r="BA78" s="24">
        <f t="shared" si="182"/>
        <v>3449803176</v>
      </c>
      <c r="BB78" s="24">
        <f t="shared" si="183"/>
        <v>3837818317</v>
      </c>
      <c r="BC78" s="24">
        <f t="shared" si="184"/>
        <v>1359028545</v>
      </c>
      <c r="BD78" s="24">
        <f t="shared" si="185"/>
        <v>274743565</v>
      </c>
      <c r="BE78" s="24">
        <f t="shared" si="186"/>
        <v>352437312</v>
      </c>
      <c r="BF78" s="24">
        <f t="shared" si="187"/>
        <v>1422443812</v>
      </c>
      <c r="BG78" s="24">
        <f t="shared" si="188"/>
        <v>285278276</v>
      </c>
      <c r="BH78" s="24">
        <f t="shared" si="189"/>
        <v>272908740</v>
      </c>
      <c r="BI78" s="24">
        <f t="shared" si="190"/>
        <v>285278272</v>
      </c>
      <c r="BJ78" s="24">
        <f t="shared" si="191"/>
        <v>272646404</v>
      </c>
      <c r="BK78" s="24">
        <f t="shared" si="192"/>
        <v>1426187589</v>
      </c>
      <c r="BL78" s="24">
        <f t="shared" si="193"/>
        <v>1424803309</v>
      </c>
      <c r="BM78" s="24">
        <f>MOD(R77+AF78+BB78+'📦 Константы SHA-512'!D76+BI272,4294967296)</f>
        <v>943185416</v>
      </c>
      <c r="BN78" s="24">
        <f>INT((R77+AF78+BB78+'📦 Константы SHA-512'!D76+BI272)/4294967296)</f>
        <v>2</v>
      </c>
      <c r="BO78" s="24">
        <f>MOD(Q77+AE78+BA78+'📦 Константы SHA-512'!C76+BH272+BN78,4294967296)</f>
        <v>91812569</v>
      </c>
      <c r="BP78" s="24" t="s">
        <v>370</v>
      </c>
      <c r="BQ78" s="24">
        <f t="shared" si="194"/>
        <v>2852863246</v>
      </c>
      <c r="BR78" s="24">
        <f t="shared" si="195"/>
        <v>0</v>
      </c>
      <c r="BS78" s="24">
        <f t="shared" si="196"/>
        <v>2447220633</v>
      </c>
      <c r="BU78" s="24">
        <f t="shared" si="197"/>
        <v>2813932190</v>
      </c>
      <c r="BV78" s="24">
        <f t="shared" si="198"/>
        <v>899965676</v>
      </c>
      <c r="BW78" s="24">
        <f t="shared" si="199"/>
        <v>2539033202</v>
      </c>
      <c r="BX78" s="24">
        <f t="shared" si="200"/>
        <v>3796048662</v>
      </c>
    </row>
    <row r="79" spans="2:76" ht="12.75" customHeight="1" x14ac:dyDescent="0.25">
      <c r="B79" s="48">
        <v>74</v>
      </c>
      <c r="C79" s="42">
        <f t="shared" si="134"/>
        <v>2521632783</v>
      </c>
      <c r="D79" s="42">
        <f t="shared" si="135"/>
        <v>1238777878</v>
      </c>
      <c r="E79" s="42">
        <f t="shared" si="136"/>
        <v>2539033202</v>
      </c>
      <c r="F79" s="42">
        <f t="shared" si="137"/>
        <v>3796048662</v>
      </c>
      <c r="G79" s="42">
        <f t="shared" si="138"/>
        <v>1437459803</v>
      </c>
      <c r="H79" s="42">
        <f t="shared" si="139"/>
        <v>3622364461</v>
      </c>
      <c r="I79" s="42">
        <f t="shared" si="140"/>
        <v>4043520453</v>
      </c>
      <c r="J79" s="42">
        <f t="shared" si="141"/>
        <v>275075549</v>
      </c>
      <c r="K79" s="42">
        <f t="shared" si="142"/>
        <v>1596010884</v>
      </c>
      <c r="L79" s="42">
        <f t="shared" si="143"/>
        <v>4138831433</v>
      </c>
      <c r="M79" s="42">
        <f t="shared" si="144"/>
        <v>2813932190</v>
      </c>
      <c r="N79" s="42">
        <f t="shared" si="145"/>
        <v>899965676</v>
      </c>
      <c r="O79" s="42">
        <f t="shared" si="146"/>
        <v>3799253177</v>
      </c>
      <c r="P79" s="42">
        <f t="shared" si="147"/>
        <v>261228449</v>
      </c>
      <c r="Q79" s="42">
        <f t="shared" si="148"/>
        <v>3307069352</v>
      </c>
      <c r="R79" s="42">
        <f t="shared" si="149"/>
        <v>619025861</v>
      </c>
      <c r="S79" s="24">
        <f t="shared" si="150"/>
        <v>2343739108</v>
      </c>
      <c r="T79" s="24">
        <f t="shared" si="151"/>
        <v>3396916881</v>
      </c>
      <c r="U79" s="24">
        <f t="shared" si="152"/>
        <v>414919150</v>
      </c>
      <c r="V79" s="24">
        <f t="shared" si="153"/>
        <v>1286049129</v>
      </c>
      <c r="W79" s="24">
        <f t="shared" si="154"/>
        <v>1327157809</v>
      </c>
      <c r="X79" s="24">
        <f t="shared" si="155"/>
        <v>1985207449</v>
      </c>
      <c r="Y79" s="24">
        <f t="shared" si="156"/>
        <v>145885412</v>
      </c>
      <c r="Z79" s="24">
        <f t="shared" si="157"/>
        <v>1210090497</v>
      </c>
      <c r="AA79" s="24">
        <f t="shared" si="158"/>
        <v>2466887434</v>
      </c>
      <c r="AB79" s="24">
        <f t="shared" si="159"/>
        <v>2262785016</v>
      </c>
      <c r="AC79" s="24">
        <f t="shared" si="160"/>
        <v>50893312</v>
      </c>
      <c r="AD79" s="24">
        <f t="shared" si="161"/>
        <v>106125464</v>
      </c>
      <c r="AE79" s="24">
        <f t="shared" si="162"/>
        <v>3692258619</v>
      </c>
      <c r="AF79" s="24">
        <f t="shared" si="163"/>
        <v>4035741537</v>
      </c>
      <c r="AG79" s="24">
        <f t="shared" si="164"/>
        <v>607236457</v>
      </c>
      <c r="AH79" s="24">
        <f t="shared" si="165"/>
        <v>1969825582</v>
      </c>
      <c r="AI79" s="24">
        <f t="shared" si="166"/>
        <v>3096495813</v>
      </c>
      <c r="AJ79" s="24">
        <f t="shared" si="167"/>
        <v>2782241948</v>
      </c>
      <c r="AK79" s="24">
        <f t="shared" si="168"/>
        <v>3854861878</v>
      </c>
      <c r="AL79" s="24">
        <f t="shared" si="169"/>
        <v>758033700</v>
      </c>
      <c r="AM79" s="24">
        <f t="shared" si="170"/>
        <v>537952321</v>
      </c>
      <c r="AN79" s="24">
        <f t="shared" si="171"/>
        <v>625026060</v>
      </c>
      <c r="AO79" s="24">
        <f t="shared" si="172"/>
        <v>2627827628</v>
      </c>
      <c r="AP79" s="24">
        <f t="shared" si="173"/>
        <v>3502015410</v>
      </c>
      <c r="AQ79" s="24">
        <f t="shared" si="174"/>
        <v>2222982692</v>
      </c>
      <c r="AR79" s="24">
        <f t="shared" si="175"/>
        <v>2916640</v>
      </c>
      <c r="AS79" s="24">
        <f t="shared" si="176"/>
        <v>2036724122</v>
      </c>
      <c r="AT79" s="24">
        <f t="shared" si="177"/>
        <v>4254215830</v>
      </c>
      <c r="AU79" s="24">
        <f t="shared" si="178"/>
        <v>2721054872</v>
      </c>
      <c r="AV79" s="24">
        <f t="shared" si="179"/>
        <v>92275360</v>
      </c>
      <c r="AW79" s="24">
        <f t="shared" si="180"/>
        <v>1074056480</v>
      </c>
      <c r="AX79" s="24">
        <f t="shared" si="181"/>
        <v>4297985</v>
      </c>
      <c r="BA79" s="24">
        <f t="shared" si="182"/>
        <v>3795111352</v>
      </c>
      <c r="BB79" s="24">
        <f t="shared" si="183"/>
        <v>96573345</v>
      </c>
      <c r="BC79" s="24">
        <f t="shared" si="184"/>
        <v>352616530</v>
      </c>
      <c r="BD79" s="24">
        <f t="shared" si="185"/>
        <v>3258974468</v>
      </c>
      <c r="BE79" s="24">
        <f t="shared" si="186"/>
        <v>2432831552</v>
      </c>
      <c r="BF79" s="24">
        <f t="shared" si="187"/>
        <v>4264212</v>
      </c>
      <c r="BG79" s="24">
        <f t="shared" si="188"/>
        <v>1359028545</v>
      </c>
      <c r="BH79" s="24">
        <f t="shared" si="189"/>
        <v>274743565</v>
      </c>
      <c r="BI79" s="24">
        <f t="shared" si="190"/>
        <v>285212736</v>
      </c>
      <c r="BJ79" s="24">
        <f t="shared" si="191"/>
        <v>4194564</v>
      </c>
      <c r="BK79" s="24">
        <f t="shared" si="192"/>
        <v>3574051155</v>
      </c>
      <c r="BL79" s="24">
        <f t="shared" si="193"/>
        <v>3529593117</v>
      </c>
      <c r="BM79" s="24">
        <f>MOD(R78+AF79+BB79+'📦 Константы SHA-512'!D77+BI273,4294967296)</f>
        <v>2044903523</v>
      </c>
      <c r="BN79" s="24">
        <f>INT((R78+AF79+BB79+'📦 Константы SHA-512'!D77+BI273)/4294967296)</f>
        <v>2</v>
      </c>
      <c r="BO79" s="24">
        <f>MOD(Q78+AE79+BA79+'📦 Константы SHA-512'!C77+BH273+BN79,4294967296)</f>
        <v>1205824800</v>
      </c>
      <c r="BP79" s="24" t="s">
        <v>371</v>
      </c>
      <c r="BQ79" s="24">
        <f t="shared" si="194"/>
        <v>3488841651</v>
      </c>
      <c r="BR79" s="24">
        <f t="shared" si="195"/>
        <v>1</v>
      </c>
      <c r="BS79" s="24">
        <f t="shared" si="196"/>
        <v>1315807982</v>
      </c>
      <c r="BU79" s="24">
        <f t="shared" si="197"/>
        <v>1596010884</v>
      </c>
      <c r="BV79" s="24">
        <f t="shared" si="198"/>
        <v>4138831433</v>
      </c>
      <c r="BW79" s="24">
        <f t="shared" si="199"/>
        <v>2521632783</v>
      </c>
      <c r="BX79" s="24">
        <f t="shared" si="200"/>
        <v>1238777878</v>
      </c>
    </row>
    <row r="80" spans="2:76" ht="12.75" customHeight="1" x14ac:dyDescent="0.25">
      <c r="B80" s="50">
        <v>75</v>
      </c>
      <c r="C80" s="44">
        <f t="shared" si="134"/>
        <v>3614533662</v>
      </c>
      <c r="D80" s="44">
        <f t="shared" si="135"/>
        <v>893556004</v>
      </c>
      <c r="E80" s="44">
        <f t="shared" si="136"/>
        <v>2521632783</v>
      </c>
      <c r="F80" s="44">
        <f t="shared" si="137"/>
        <v>1238777878</v>
      </c>
      <c r="G80" s="44">
        <f t="shared" si="138"/>
        <v>2539033202</v>
      </c>
      <c r="H80" s="44">
        <f t="shared" si="139"/>
        <v>3796048662</v>
      </c>
      <c r="I80" s="44">
        <f t="shared" si="140"/>
        <v>1437459803</v>
      </c>
      <c r="J80" s="44">
        <f t="shared" si="141"/>
        <v>3622364461</v>
      </c>
      <c r="K80" s="44">
        <f t="shared" si="142"/>
        <v>3752121242</v>
      </c>
      <c r="L80" s="44">
        <f t="shared" si="143"/>
        <v>2507589396</v>
      </c>
      <c r="M80" s="44">
        <f t="shared" si="144"/>
        <v>1596010884</v>
      </c>
      <c r="N80" s="44">
        <f t="shared" si="145"/>
        <v>4138831433</v>
      </c>
      <c r="O80" s="44">
        <f t="shared" si="146"/>
        <v>2813932190</v>
      </c>
      <c r="P80" s="44">
        <f t="shared" si="147"/>
        <v>899965676</v>
      </c>
      <c r="Q80" s="44">
        <f t="shared" si="148"/>
        <v>3799253177</v>
      </c>
      <c r="R80" s="44">
        <f t="shared" si="149"/>
        <v>261228449</v>
      </c>
      <c r="S80" s="24">
        <f t="shared" si="150"/>
        <v>958758020</v>
      </c>
      <c r="T80" s="24">
        <f t="shared" si="151"/>
        <v>3323189958</v>
      </c>
      <c r="U80" s="24">
        <f t="shared" si="152"/>
        <v>1670535112</v>
      </c>
      <c r="V80" s="24">
        <f t="shared" si="153"/>
        <v>1281441196</v>
      </c>
      <c r="W80" s="24">
        <f t="shared" si="154"/>
        <v>3262863559</v>
      </c>
      <c r="X80" s="24">
        <f t="shared" si="155"/>
        <v>615485592</v>
      </c>
      <c r="Y80" s="24">
        <f t="shared" si="156"/>
        <v>553669760</v>
      </c>
      <c r="Z80" s="24">
        <f t="shared" si="157"/>
        <v>1140922500</v>
      </c>
      <c r="AA80" s="24">
        <f t="shared" si="158"/>
        <v>1521953612</v>
      </c>
      <c r="AB80" s="24">
        <f t="shared" si="159"/>
        <v>2322786154</v>
      </c>
      <c r="AC80" s="24">
        <f t="shared" si="160"/>
        <v>1110640708</v>
      </c>
      <c r="AD80" s="24">
        <f t="shared" si="161"/>
        <v>2261000</v>
      </c>
      <c r="AE80" s="24">
        <f t="shared" si="162"/>
        <v>2563535755</v>
      </c>
      <c r="AF80" s="24">
        <f t="shared" si="163"/>
        <v>2933749746</v>
      </c>
      <c r="AG80" s="24">
        <f t="shared" si="164"/>
        <v>2640576873</v>
      </c>
      <c r="AH80" s="24">
        <f t="shared" si="165"/>
        <v>1691418868</v>
      </c>
      <c r="AI80" s="24">
        <f t="shared" si="166"/>
        <v>3530919941</v>
      </c>
      <c r="AJ80" s="24">
        <f t="shared" si="167"/>
        <v>2777891843</v>
      </c>
      <c r="AK80" s="24">
        <f t="shared" si="168"/>
        <v>512994432</v>
      </c>
      <c r="AL80" s="24">
        <f t="shared" si="169"/>
        <v>757897760</v>
      </c>
      <c r="AM80" s="24">
        <f t="shared" si="170"/>
        <v>2422472705</v>
      </c>
      <c r="AN80" s="24">
        <f t="shared" si="171"/>
        <v>613482496</v>
      </c>
      <c r="AO80" s="24">
        <f t="shared" si="172"/>
        <v>1326551404</v>
      </c>
      <c r="AP80" s="24">
        <f t="shared" si="173"/>
        <v>3242345719</v>
      </c>
      <c r="AQ80" s="24">
        <f t="shared" si="174"/>
        <v>236027904</v>
      </c>
      <c r="AR80" s="24">
        <f t="shared" si="175"/>
        <v>16777248</v>
      </c>
      <c r="AS80" s="24">
        <f t="shared" si="176"/>
        <v>1367490028</v>
      </c>
      <c r="AT80" s="24">
        <f t="shared" si="177"/>
        <v>3966688983</v>
      </c>
      <c r="AU80" s="24">
        <f t="shared" si="178"/>
        <v>119615620</v>
      </c>
      <c r="AV80" s="24">
        <f t="shared" si="179"/>
        <v>882901576</v>
      </c>
      <c r="AW80" s="24">
        <f t="shared" si="180"/>
        <v>2689859641</v>
      </c>
      <c r="AX80" s="24">
        <f t="shared" si="181"/>
        <v>151126432</v>
      </c>
      <c r="BA80" s="24">
        <f t="shared" si="182"/>
        <v>2809475261</v>
      </c>
      <c r="BB80" s="24">
        <f t="shared" si="183"/>
        <v>1034028008</v>
      </c>
      <c r="BC80" s="24">
        <f t="shared" si="184"/>
        <v>2521042946</v>
      </c>
      <c r="BD80" s="24">
        <f t="shared" si="185"/>
        <v>1078067222</v>
      </c>
      <c r="BE80" s="24">
        <f t="shared" si="186"/>
        <v>336396299</v>
      </c>
      <c r="BF80" s="24">
        <f t="shared" si="187"/>
        <v>1103118340</v>
      </c>
      <c r="BG80" s="24">
        <f t="shared" si="188"/>
        <v>352616530</v>
      </c>
      <c r="BH80" s="24">
        <f t="shared" si="189"/>
        <v>3258974468</v>
      </c>
      <c r="BI80" s="24">
        <f t="shared" si="190"/>
        <v>335806466</v>
      </c>
      <c r="BJ80" s="24">
        <f t="shared" si="191"/>
        <v>1077936132</v>
      </c>
      <c r="BK80" s="24">
        <f t="shared" si="192"/>
        <v>2538442843</v>
      </c>
      <c r="BL80" s="24">
        <f t="shared" si="193"/>
        <v>3284287766</v>
      </c>
      <c r="BM80" s="24">
        <f>MOD(R79+AF80+BB80+'📦 Константы SHA-512'!D78+BI274,4294967296)</f>
        <v>2232513847</v>
      </c>
      <c r="BN80" s="24">
        <f>INT((R79+AF80+BB80+'📦 Константы SHA-512'!D78+BI274)/4294967296)</f>
        <v>1</v>
      </c>
      <c r="BO80" s="24">
        <f>MOD(Q79+AE80+BA80+'📦 Константы SHA-512'!C78+BH274+BN80,4294967296)</f>
        <v>4003568085</v>
      </c>
      <c r="BP80" s="24" t="s">
        <v>372</v>
      </c>
      <c r="BQ80" s="24">
        <f t="shared" si="194"/>
        <v>2956009453</v>
      </c>
      <c r="BR80" s="24">
        <f t="shared" si="195"/>
        <v>1</v>
      </c>
      <c r="BS80" s="24">
        <f t="shared" si="196"/>
        <v>3905932872</v>
      </c>
      <c r="BU80" s="24">
        <f t="shared" si="197"/>
        <v>3752121242</v>
      </c>
      <c r="BV80" s="24">
        <f t="shared" si="198"/>
        <v>2507589396</v>
      </c>
      <c r="BW80" s="24">
        <f t="shared" si="199"/>
        <v>3614533662</v>
      </c>
      <c r="BX80" s="24">
        <f t="shared" si="200"/>
        <v>893556004</v>
      </c>
    </row>
    <row r="81" spans="2:76" ht="12.75" customHeight="1" x14ac:dyDescent="0.25">
      <c r="B81" s="52">
        <v>76</v>
      </c>
      <c r="C81" s="45">
        <f t="shared" si="134"/>
        <v>3195748533</v>
      </c>
      <c r="D81" s="45">
        <f t="shared" si="135"/>
        <v>699823104</v>
      </c>
      <c r="E81" s="45">
        <f t="shared" si="136"/>
        <v>3614533662</v>
      </c>
      <c r="F81" s="45">
        <f t="shared" si="137"/>
        <v>893556004</v>
      </c>
      <c r="G81" s="45">
        <f t="shared" si="138"/>
        <v>2521632783</v>
      </c>
      <c r="H81" s="45">
        <f t="shared" si="139"/>
        <v>1238777878</v>
      </c>
      <c r="I81" s="45">
        <f t="shared" si="140"/>
        <v>2539033202</v>
      </c>
      <c r="J81" s="45">
        <f t="shared" si="141"/>
        <v>3796048662</v>
      </c>
      <c r="K81" s="45">
        <f t="shared" si="142"/>
        <v>2545984452</v>
      </c>
      <c r="L81" s="45">
        <f t="shared" si="143"/>
        <v>2499350243</v>
      </c>
      <c r="M81" s="45">
        <f t="shared" si="144"/>
        <v>3752121242</v>
      </c>
      <c r="N81" s="45">
        <f t="shared" si="145"/>
        <v>2507589396</v>
      </c>
      <c r="O81" s="45">
        <f t="shared" si="146"/>
        <v>1596010884</v>
      </c>
      <c r="P81" s="45">
        <f t="shared" si="147"/>
        <v>4138831433</v>
      </c>
      <c r="Q81" s="45">
        <f t="shared" si="148"/>
        <v>2813932190</v>
      </c>
      <c r="R81" s="45">
        <f t="shared" si="149"/>
        <v>899965676</v>
      </c>
      <c r="S81" s="24">
        <f t="shared" si="150"/>
        <v>475233939</v>
      </c>
      <c r="T81" s="24">
        <f t="shared" si="151"/>
        <v>1315591643</v>
      </c>
      <c r="U81" s="24">
        <f t="shared" si="152"/>
        <v>2982492137</v>
      </c>
      <c r="V81" s="24">
        <f t="shared" si="153"/>
        <v>887530845</v>
      </c>
      <c r="W81" s="24">
        <f t="shared" si="154"/>
        <v>3444226915</v>
      </c>
      <c r="X81" s="24">
        <f t="shared" si="155"/>
        <v>2322584169</v>
      </c>
      <c r="Y81" s="24">
        <f t="shared" si="156"/>
        <v>272709249</v>
      </c>
      <c r="Z81" s="24">
        <f t="shared" si="157"/>
        <v>73532761</v>
      </c>
      <c r="AA81" s="24">
        <f t="shared" si="158"/>
        <v>2912307578</v>
      </c>
      <c r="AB81" s="24">
        <f t="shared" si="159"/>
        <v>2056056966</v>
      </c>
      <c r="AC81" s="24">
        <f t="shared" si="160"/>
        <v>2365720930</v>
      </c>
      <c r="AD81" s="24">
        <f t="shared" si="161"/>
        <v>168611840</v>
      </c>
      <c r="AE81" s="24">
        <f t="shared" si="162"/>
        <v>1625092633</v>
      </c>
      <c r="AF81" s="24">
        <f t="shared" si="163"/>
        <v>4041417455</v>
      </c>
      <c r="AG81" s="24">
        <f t="shared" si="164"/>
        <v>1411994189</v>
      </c>
      <c r="AH81" s="24">
        <f t="shared" si="165"/>
        <v>1997963747</v>
      </c>
      <c r="AI81" s="24">
        <f t="shared" si="166"/>
        <v>2370872649</v>
      </c>
      <c r="AJ81" s="24">
        <f t="shared" si="167"/>
        <v>903633415</v>
      </c>
      <c r="AK81" s="24">
        <f t="shared" si="168"/>
        <v>1013613866</v>
      </c>
      <c r="AL81" s="24">
        <f t="shared" si="169"/>
        <v>1236198096</v>
      </c>
      <c r="AM81" s="24">
        <f t="shared" si="170"/>
        <v>67108937</v>
      </c>
      <c r="AN81" s="24">
        <f t="shared" si="171"/>
        <v>890503171</v>
      </c>
      <c r="AO81" s="24">
        <f t="shared" si="172"/>
        <v>3648648964</v>
      </c>
      <c r="AP81" s="24">
        <f t="shared" si="173"/>
        <v>1120590820</v>
      </c>
      <c r="AQ81" s="24">
        <f t="shared" si="174"/>
        <v>409502976</v>
      </c>
      <c r="AR81" s="24">
        <f t="shared" si="175"/>
        <v>1082835648</v>
      </c>
      <c r="AS81" s="24">
        <f t="shared" si="176"/>
        <v>3843256878</v>
      </c>
      <c r="AT81" s="24">
        <f t="shared" si="177"/>
        <v>191117620</v>
      </c>
      <c r="AU81" s="24">
        <f t="shared" si="178"/>
        <v>1595937152</v>
      </c>
      <c r="AV81" s="24">
        <f t="shared" si="179"/>
        <v>2486208000</v>
      </c>
      <c r="AW81" s="24">
        <f t="shared" si="180"/>
        <v>538517508</v>
      </c>
      <c r="AX81" s="24">
        <f t="shared" si="181"/>
        <v>545267944</v>
      </c>
      <c r="BA81" s="24">
        <f t="shared" si="182"/>
        <v>2134454660</v>
      </c>
      <c r="BB81" s="24">
        <f t="shared" si="183"/>
        <v>3031475944</v>
      </c>
      <c r="BC81" s="24">
        <f t="shared" si="184"/>
        <v>2520842254</v>
      </c>
      <c r="BD81" s="24">
        <f t="shared" si="185"/>
        <v>21102596</v>
      </c>
      <c r="BE81" s="24">
        <f t="shared" si="186"/>
        <v>2538602514</v>
      </c>
      <c r="BF81" s="24">
        <f t="shared" si="187"/>
        <v>541200644</v>
      </c>
      <c r="BG81" s="24">
        <f t="shared" si="188"/>
        <v>2521042946</v>
      </c>
      <c r="BH81" s="24">
        <f t="shared" si="189"/>
        <v>1078067222</v>
      </c>
      <c r="BI81" s="24">
        <f t="shared" si="190"/>
        <v>2520776706</v>
      </c>
      <c r="BJ81" s="24">
        <f t="shared" si="191"/>
        <v>4325380</v>
      </c>
      <c r="BK81" s="24">
        <f t="shared" si="192"/>
        <v>2538934302</v>
      </c>
      <c r="BL81" s="24">
        <f t="shared" si="193"/>
        <v>1631719702</v>
      </c>
      <c r="BM81" s="24">
        <f>MOD(R80+AF81+BB81+'📦 Константы SHA-512'!D79+BI275,4294967296)</f>
        <v>3171953078</v>
      </c>
      <c r="BN81" s="24">
        <f>INT((R80+AF81+BB81+'📦 Константы SHA-512'!D79+BI275)/4294967296)</f>
        <v>2</v>
      </c>
      <c r="BO81" s="24">
        <f>MOD(Q80+AE81+BA81+'📦 Константы SHA-512'!C79+BH275+BN81,4294967296)</f>
        <v>1108524648</v>
      </c>
      <c r="BP81" s="24" t="s">
        <v>373</v>
      </c>
      <c r="BQ81" s="24">
        <f t="shared" si="194"/>
        <v>1822837322</v>
      </c>
      <c r="BR81" s="24">
        <f t="shared" si="195"/>
        <v>0</v>
      </c>
      <c r="BS81" s="24">
        <f t="shared" si="196"/>
        <v>2087223884</v>
      </c>
      <c r="BU81" s="24">
        <f t="shared" si="197"/>
        <v>2545984452</v>
      </c>
      <c r="BV81" s="24">
        <f t="shared" si="198"/>
        <v>2499350243</v>
      </c>
      <c r="BW81" s="24">
        <f t="shared" si="199"/>
        <v>3195748533</v>
      </c>
      <c r="BX81" s="24">
        <f t="shared" si="200"/>
        <v>699823104</v>
      </c>
    </row>
    <row r="82" spans="2:76" ht="12.75" customHeight="1" x14ac:dyDescent="0.25">
      <c r="B82" s="25">
        <v>77</v>
      </c>
      <c r="C82" s="47">
        <f t="shared" si="134"/>
        <v>1032847850</v>
      </c>
      <c r="D82" s="47">
        <f t="shared" si="135"/>
        <v>3125413302</v>
      </c>
      <c r="E82" s="47">
        <f t="shared" si="136"/>
        <v>3195748533</v>
      </c>
      <c r="F82" s="47">
        <f t="shared" si="137"/>
        <v>699823104</v>
      </c>
      <c r="G82" s="47">
        <f t="shared" si="138"/>
        <v>3614533662</v>
      </c>
      <c r="H82" s="47">
        <f t="shared" si="139"/>
        <v>893556004</v>
      </c>
      <c r="I82" s="47">
        <f t="shared" si="140"/>
        <v>2521632783</v>
      </c>
      <c r="J82" s="47">
        <f t="shared" si="141"/>
        <v>1238777878</v>
      </c>
      <c r="K82" s="47">
        <f t="shared" si="142"/>
        <v>2199102042</v>
      </c>
      <c r="L82" s="47">
        <f t="shared" si="143"/>
        <v>2841681610</v>
      </c>
      <c r="M82" s="47">
        <f t="shared" si="144"/>
        <v>2545984452</v>
      </c>
      <c r="N82" s="47">
        <f t="shared" si="145"/>
        <v>2499350243</v>
      </c>
      <c r="O82" s="47">
        <f t="shared" si="146"/>
        <v>3752121242</v>
      </c>
      <c r="P82" s="47">
        <f t="shared" si="147"/>
        <v>2507589396</v>
      </c>
      <c r="Q82" s="47">
        <f t="shared" si="148"/>
        <v>1596010884</v>
      </c>
      <c r="R82" s="47">
        <f t="shared" si="149"/>
        <v>4138831433</v>
      </c>
      <c r="S82" s="24">
        <f t="shared" si="150"/>
        <v>999186178</v>
      </c>
      <c r="T82" s="24">
        <f t="shared" si="151"/>
        <v>2400343012</v>
      </c>
      <c r="U82" s="24">
        <f t="shared" si="152"/>
        <v>1136190960</v>
      </c>
      <c r="V82" s="24">
        <f t="shared" si="153"/>
        <v>686892350</v>
      </c>
      <c r="W82" s="24">
        <f t="shared" si="154"/>
        <v>3796532359</v>
      </c>
      <c r="X82" s="24">
        <f t="shared" si="155"/>
        <v>1909186641</v>
      </c>
      <c r="Y82" s="24">
        <f t="shared" si="156"/>
        <v>59262208</v>
      </c>
      <c r="Z82" s="24">
        <f t="shared" si="157"/>
        <v>135266596</v>
      </c>
      <c r="AA82" s="24">
        <f t="shared" si="158"/>
        <v>2016852722</v>
      </c>
      <c r="AB82" s="24">
        <f t="shared" si="159"/>
        <v>2816702170</v>
      </c>
      <c r="AC82" s="24">
        <f t="shared" si="160"/>
        <v>1610758274</v>
      </c>
      <c r="AD82" s="24">
        <f t="shared" si="161"/>
        <v>566452304</v>
      </c>
      <c r="AE82" s="24">
        <f t="shared" si="162"/>
        <v>2591868533</v>
      </c>
      <c r="AF82" s="24">
        <f t="shared" si="163"/>
        <v>3592984203</v>
      </c>
      <c r="AG82" s="24">
        <f t="shared" si="164"/>
        <v>2607235083</v>
      </c>
      <c r="AH82" s="24">
        <f t="shared" si="165"/>
        <v>3887336274</v>
      </c>
      <c r="AI82" s="24">
        <f t="shared" si="166"/>
        <v>1248697600</v>
      </c>
      <c r="AJ82" s="24">
        <f t="shared" si="167"/>
        <v>798937133</v>
      </c>
      <c r="AK82" s="24">
        <f t="shared" si="168"/>
        <v>1783852264</v>
      </c>
      <c r="AL82" s="24">
        <f t="shared" si="169"/>
        <v>24966785</v>
      </c>
      <c r="AM82" s="24">
        <f t="shared" si="170"/>
        <v>174391296</v>
      </c>
      <c r="AN82" s="24">
        <f t="shared" si="171"/>
        <v>664010752</v>
      </c>
      <c r="AO82" s="24">
        <f t="shared" si="172"/>
        <v>3507150091</v>
      </c>
      <c r="AP82" s="24">
        <f t="shared" si="173"/>
        <v>3358251903</v>
      </c>
      <c r="AQ82" s="24">
        <f t="shared" si="174"/>
        <v>1073892360</v>
      </c>
      <c r="AR82" s="24">
        <f t="shared" si="175"/>
        <v>2675201</v>
      </c>
      <c r="AS82" s="24">
        <f t="shared" si="176"/>
        <v>3143217635</v>
      </c>
      <c r="AT82" s="24">
        <f t="shared" si="177"/>
        <v>3377868286</v>
      </c>
      <c r="AU82" s="24">
        <f t="shared" si="178"/>
        <v>2541781888</v>
      </c>
      <c r="AV82" s="24">
        <f t="shared" si="179"/>
        <v>2490369536</v>
      </c>
      <c r="AW82" s="24">
        <f t="shared" si="180"/>
        <v>1210126336</v>
      </c>
      <c r="AX82" s="24">
        <f t="shared" si="181"/>
        <v>1644199944</v>
      </c>
      <c r="BA82" s="24">
        <f t="shared" si="182"/>
        <v>3751908224</v>
      </c>
      <c r="BB82" s="24">
        <f t="shared" si="183"/>
        <v>4134569480</v>
      </c>
      <c r="BC82" s="24">
        <f t="shared" si="184"/>
        <v>2524004372</v>
      </c>
      <c r="BD82" s="24">
        <f t="shared" si="185"/>
        <v>553784320</v>
      </c>
      <c r="BE82" s="24">
        <f t="shared" si="186"/>
        <v>2521366533</v>
      </c>
      <c r="BF82" s="24">
        <f t="shared" si="187"/>
        <v>160841728</v>
      </c>
      <c r="BG82" s="24">
        <f t="shared" si="188"/>
        <v>2520842254</v>
      </c>
      <c r="BH82" s="24">
        <f t="shared" si="189"/>
        <v>21102596</v>
      </c>
      <c r="BI82" s="24">
        <f t="shared" si="190"/>
        <v>2520842244</v>
      </c>
      <c r="BJ82" s="24">
        <f t="shared" si="191"/>
        <v>16908288</v>
      </c>
      <c r="BK82" s="24">
        <f t="shared" si="192"/>
        <v>2524528671</v>
      </c>
      <c r="BL82" s="24">
        <f t="shared" si="193"/>
        <v>701912068</v>
      </c>
      <c r="BM82" s="24">
        <f>MOD(R81+AF82+BB82+'📦 Константы SHA-512'!D80+BI276,4294967296)</f>
        <v>3340600244</v>
      </c>
      <c r="BN82" s="24">
        <f>INT((R81+AF82+BB82+'📦 Константы SHA-512'!D80+BI276)/4294967296)</f>
        <v>3</v>
      </c>
      <c r="BO82" s="24">
        <f>MOD(Q81+AE82+BA82+'📦 Константы SHA-512'!C80+BH276+BN82,4294967296)</f>
        <v>3955036135</v>
      </c>
      <c r="BP82" s="24" t="s">
        <v>374</v>
      </c>
      <c r="BQ82" s="24">
        <f t="shared" si="194"/>
        <v>4079780354</v>
      </c>
      <c r="BR82" s="24">
        <f t="shared" si="195"/>
        <v>0</v>
      </c>
      <c r="BS82" s="24">
        <f t="shared" si="196"/>
        <v>1372779010</v>
      </c>
      <c r="BU82" s="24">
        <f t="shared" si="197"/>
        <v>2199102042</v>
      </c>
      <c r="BV82" s="24">
        <f t="shared" si="198"/>
        <v>2841681610</v>
      </c>
      <c r="BW82" s="24">
        <f t="shared" si="199"/>
        <v>1032847850</v>
      </c>
      <c r="BX82" s="24">
        <f t="shared" si="200"/>
        <v>3125413302</v>
      </c>
    </row>
    <row r="83" spans="2:76" ht="12.75" customHeight="1" x14ac:dyDescent="0.25">
      <c r="B83" s="27">
        <v>78</v>
      </c>
      <c r="C83" s="49">
        <f t="shared" si="134"/>
        <v>4113369167</v>
      </c>
      <c r="D83" s="49">
        <f t="shared" si="135"/>
        <v>2323100335</v>
      </c>
      <c r="E83" s="49">
        <f t="shared" si="136"/>
        <v>1032847850</v>
      </c>
      <c r="F83" s="49">
        <f t="shared" si="137"/>
        <v>3125413302</v>
      </c>
      <c r="G83" s="49">
        <f t="shared" si="138"/>
        <v>3195748533</v>
      </c>
      <c r="H83" s="49">
        <f t="shared" si="139"/>
        <v>699823104</v>
      </c>
      <c r="I83" s="49">
        <f t="shared" si="140"/>
        <v>3614533662</v>
      </c>
      <c r="J83" s="49">
        <f t="shared" si="141"/>
        <v>893556004</v>
      </c>
      <c r="K83" s="49">
        <f t="shared" si="142"/>
        <v>3972172187</v>
      </c>
      <c r="L83" s="49">
        <f t="shared" si="143"/>
        <v>1626119887</v>
      </c>
      <c r="M83" s="49">
        <f t="shared" si="144"/>
        <v>2199102042</v>
      </c>
      <c r="N83" s="49">
        <f t="shared" si="145"/>
        <v>2841681610</v>
      </c>
      <c r="O83" s="49">
        <f t="shared" si="146"/>
        <v>2545984452</v>
      </c>
      <c r="P83" s="49">
        <f t="shared" si="147"/>
        <v>2499350243</v>
      </c>
      <c r="Q83" s="49">
        <f t="shared" si="148"/>
        <v>3752121242</v>
      </c>
      <c r="R83" s="49">
        <f t="shared" si="149"/>
        <v>2507589396</v>
      </c>
      <c r="S83" s="24">
        <f t="shared" si="150"/>
        <v>2066353230</v>
      </c>
      <c r="T83" s="24">
        <f t="shared" si="151"/>
        <v>2305467778</v>
      </c>
      <c r="U83" s="24">
        <f t="shared" si="152"/>
        <v>666017988</v>
      </c>
      <c r="V83" s="24">
        <f t="shared" si="153"/>
        <v>3902188120</v>
      </c>
      <c r="W83" s="24">
        <f t="shared" si="154"/>
        <v>760524879</v>
      </c>
      <c r="X83" s="24">
        <f t="shared" si="155"/>
        <v>1698793937</v>
      </c>
      <c r="Y83" s="24">
        <f t="shared" si="156"/>
        <v>589430852</v>
      </c>
      <c r="Z83" s="24">
        <f t="shared" si="157"/>
        <v>2281873408</v>
      </c>
      <c r="AA83" s="24">
        <f t="shared" si="158"/>
        <v>1553509514</v>
      </c>
      <c r="AB83" s="24">
        <f t="shared" si="159"/>
        <v>1643909082</v>
      </c>
      <c r="AC83" s="24">
        <f t="shared" si="160"/>
        <v>202416138</v>
      </c>
      <c r="AD83" s="24">
        <f t="shared" si="161"/>
        <v>1631586768</v>
      </c>
      <c r="AE83" s="24">
        <f t="shared" si="162"/>
        <v>1909202117</v>
      </c>
      <c r="AF83" s="24">
        <f t="shared" si="163"/>
        <v>79529483</v>
      </c>
      <c r="AG83" s="24">
        <f t="shared" si="164"/>
        <v>2761972579</v>
      </c>
      <c r="AH83" s="24">
        <f t="shared" si="165"/>
        <v>3640663723</v>
      </c>
      <c r="AI83" s="24">
        <f t="shared" si="166"/>
        <v>2928836973</v>
      </c>
      <c r="AJ83" s="24">
        <f t="shared" si="167"/>
        <v>2405695610</v>
      </c>
      <c r="AK83" s="24">
        <f t="shared" si="168"/>
        <v>3581187083</v>
      </c>
      <c r="AL83" s="24">
        <f t="shared" si="169"/>
        <v>1820008451</v>
      </c>
      <c r="AM83" s="24">
        <f t="shared" si="170"/>
        <v>2759852385</v>
      </c>
      <c r="AN83" s="24">
        <f t="shared" si="171"/>
        <v>2298478634</v>
      </c>
      <c r="AO83" s="24">
        <f t="shared" si="172"/>
        <v>171104782</v>
      </c>
      <c r="AP83" s="24">
        <f t="shared" si="173"/>
        <v>1449402065</v>
      </c>
      <c r="AQ83" s="24">
        <f t="shared" si="174"/>
        <v>3182602</v>
      </c>
      <c r="AR83" s="24">
        <f t="shared" si="175"/>
        <v>1147142145</v>
      </c>
      <c r="AS83" s="24">
        <f t="shared" si="176"/>
        <v>3745926661</v>
      </c>
      <c r="AT83" s="24">
        <f t="shared" si="177"/>
        <v>975126226</v>
      </c>
      <c r="AU83" s="24">
        <f t="shared" si="178"/>
        <v>2197856832</v>
      </c>
      <c r="AV83" s="24">
        <f t="shared" si="179"/>
        <v>2153778882</v>
      </c>
      <c r="AW83" s="24">
        <f t="shared" si="180"/>
        <v>1554272640</v>
      </c>
      <c r="AX83" s="24">
        <f t="shared" si="181"/>
        <v>337002772</v>
      </c>
      <c r="BA83" s="24">
        <f t="shared" si="182"/>
        <v>3752129472</v>
      </c>
      <c r="BB83" s="24">
        <f t="shared" si="183"/>
        <v>2490781654</v>
      </c>
      <c r="BC83" s="24">
        <f t="shared" si="184"/>
        <v>1007681696</v>
      </c>
      <c r="BD83" s="24">
        <f t="shared" si="185"/>
        <v>671220736</v>
      </c>
      <c r="BE83" s="24">
        <f t="shared" si="186"/>
        <v>353370122</v>
      </c>
      <c r="BF83" s="24">
        <f t="shared" si="187"/>
        <v>809633060</v>
      </c>
      <c r="BG83" s="24">
        <f t="shared" si="188"/>
        <v>2524004372</v>
      </c>
      <c r="BH83" s="24">
        <f t="shared" si="189"/>
        <v>553784320</v>
      </c>
      <c r="BI83" s="24">
        <f t="shared" si="190"/>
        <v>336592896</v>
      </c>
      <c r="BJ83" s="24">
        <f t="shared" si="191"/>
        <v>537003008</v>
      </c>
      <c r="BK83" s="24">
        <f t="shared" si="192"/>
        <v>3211870398</v>
      </c>
      <c r="BL83" s="24">
        <f t="shared" si="193"/>
        <v>960632100</v>
      </c>
      <c r="BM83" s="24">
        <f>MOD(R82+AF83+BB83+'📦 Константы SHA-512'!D81+BI277,4294967296)</f>
        <v>387342009</v>
      </c>
      <c r="BN83" s="24">
        <f>INT((R82+AF83+BB83+'📦 Константы SHA-512'!D81+BI277)/4294967296)</f>
        <v>3</v>
      </c>
      <c r="BO83" s="24">
        <f>MOD(Q82+AE83+BA83+'📦 Константы SHA-512'!C81+BH277+BN83,4294967296)</f>
        <v>1450539404</v>
      </c>
      <c r="BP83" s="24" t="s">
        <v>375</v>
      </c>
      <c r="BQ83" s="24">
        <f t="shared" si="194"/>
        <v>1935758326</v>
      </c>
      <c r="BR83" s="24">
        <f t="shared" si="195"/>
        <v>0</v>
      </c>
      <c r="BS83" s="24">
        <f t="shared" si="196"/>
        <v>2662829763</v>
      </c>
      <c r="BU83" s="24">
        <f t="shared" si="197"/>
        <v>3972172187</v>
      </c>
      <c r="BV83" s="24">
        <f t="shared" si="198"/>
        <v>1626119887</v>
      </c>
      <c r="BW83" s="24">
        <f t="shared" si="199"/>
        <v>4113369167</v>
      </c>
      <c r="BX83" s="24">
        <f t="shared" si="200"/>
        <v>2323100335</v>
      </c>
    </row>
    <row r="84" spans="2:76" ht="12.75" customHeight="1" x14ac:dyDescent="0.25">
      <c r="B84" s="29">
        <v>79</v>
      </c>
      <c r="C84" s="51">
        <f t="shared" si="134"/>
        <v>2720998885</v>
      </c>
      <c r="D84" s="51">
        <f t="shared" si="135"/>
        <v>1327470136</v>
      </c>
      <c r="E84" s="51">
        <f t="shared" si="136"/>
        <v>4113369167</v>
      </c>
      <c r="F84" s="51">
        <f t="shared" si="137"/>
        <v>2323100335</v>
      </c>
      <c r="G84" s="51">
        <f t="shared" si="138"/>
        <v>1032847850</v>
      </c>
      <c r="H84" s="51">
        <f t="shared" si="139"/>
        <v>3125413302</v>
      </c>
      <c r="I84" s="51">
        <f t="shared" si="140"/>
        <v>3195748533</v>
      </c>
      <c r="J84" s="51">
        <f t="shared" si="141"/>
        <v>699823104</v>
      </c>
      <c r="K84" s="51">
        <f t="shared" si="142"/>
        <v>3782566881</v>
      </c>
      <c r="L84" s="51">
        <f t="shared" si="143"/>
        <v>3917109691</v>
      </c>
      <c r="M84" s="51">
        <f t="shared" si="144"/>
        <v>3972172187</v>
      </c>
      <c r="N84" s="51">
        <f t="shared" si="145"/>
        <v>1626119887</v>
      </c>
      <c r="O84" s="51">
        <f t="shared" si="146"/>
        <v>2199102042</v>
      </c>
      <c r="P84" s="51">
        <f t="shared" si="147"/>
        <v>2841681610</v>
      </c>
      <c r="Q84" s="51">
        <f t="shared" si="148"/>
        <v>2545984452</v>
      </c>
      <c r="R84" s="51">
        <f t="shared" si="149"/>
        <v>2499350243</v>
      </c>
      <c r="S84" s="24">
        <f t="shared" si="150"/>
        <v>2067772170</v>
      </c>
      <c r="T84" s="24">
        <f t="shared" si="151"/>
        <v>644711346</v>
      </c>
      <c r="U84" s="24">
        <f t="shared" si="152"/>
        <v>666106672</v>
      </c>
      <c r="V84" s="24">
        <f t="shared" si="153"/>
        <v>2724649019</v>
      </c>
      <c r="W84" s="24">
        <f t="shared" si="154"/>
        <v>3450893903</v>
      </c>
      <c r="X84" s="24">
        <f t="shared" si="155"/>
        <v>1744200004</v>
      </c>
      <c r="Y84" s="24">
        <f t="shared" si="156"/>
        <v>590590720</v>
      </c>
      <c r="Z84" s="24">
        <f t="shared" si="157"/>
        <v>577011762</v>
      </c>
      <c r="AA84" s="24">
        <f t="shared" si="158"/>
        <v>1552697402</v>
      </c>
      <c r="AB84" s="24">
        <f t="shared" si="159"/>
        <v>2215336841</v>
      </c>
      <c r="AC84" s="24">
        <f t="shared" si="160"/>
        <v>1283473418</v>
      </c>
      <c r="AD84" s="24">
        <f t="shared" si="161"/>
        <v>67256576</v>
      </c>
      <c r="AE84" s="24">
        <f t="shared" si="162"/>
        <v>2436644469</v>
      </c>
      <c r="AF84" s="24">
        <f t="shared" si="163"/>
        <v>3825023693</v>
      </c>
      <c r="AG84" s="24">
        <f t="shared" si="164"/>
        <v>2809867007</v>
      </c>
      <c r="AH84" s="24">
        <f t="shared" si="165"/>
        <v>1389397240</v>
      </c>
      <c r="AI84" s="24">
        <f t="shared" si="166"/>
        <v>3802000555</v>
      </c>
      <c r="AJ84" s="24">
        <f t="shared" si="167"/>
        <v>4249567763</v>
      </c>
      <c r="AK84" s="24">
        <f t="shared" si="168"/>
        <v>2668949349</v>
      </c>
      <c r="AL84" s="24">
        <f t="shared" si="169"/>
        <v>1609194000</v>
      </c>
      <c r="AM84" s="24">
        <f t="shared" si="170"/>
        <v>2719557803</v>
      </c>
      <c r="AN84" s="24">
        <f t="shared" si="171"/>
        <v>1346371600</v>
      </c>
      <c r="AO84" s="24">
        <f t="shared" si="172"/>
        <v>1172751956</v>
      </c>
      <c r="AP84" s="24">
        <f t="shared" si="173"/>
        <v>2946221803</v>
      </c>
      <c r="AQ84" s="24">
        <f t="shared" si="174"/>
        <v>84198980</v>
      </c>
      <c r="AR84" s="24">
        <f t="shared" si="175"/>
        <v>260719104</v>
      </c>
      <c r="AS84" s="24">
        <f t="shared" si="176"/>
        <v>3673303345</v>
      </c>
      <c r="AT84" s="24">
        <f t="shared" si="177"/>
        <v>4033977595</v>
      </c>
      <c r="AU84" s="24">
        <f t="shared" si="178"/>
        <v>2147647514</v>
      </c>
      <c r="AV84" s="24">
        <f t="shared" si="179"/>
        <v>543203018</v>
      </c>
      <c r="AW84" s="24">
        <f t="shared" si="180"/>
        <v>318775876</v>
      </c>
      <c r="AX84" s="24">
        <f t="shared" si="181"/>
        <v>2484142112</v>
      </c>
      <c r="BA84" s="24">
        <f t="shared" si="182"/>
        <v>2466423390</v>
      </c>
      <c r="BB84" s="24">
        <f t="shared" si="183"/>
        <v>3027345130</v>
      </c>
      <c r="BC84" s="24">
        <f t="shared" si="184"/>
        <v>889192522</v>
      </c>
      <c r="BD84" s="24">
        <f t="shared" si="185"/>
        <v>2319581350</v>
      </c>
      <c r="BE84" s="24">
        <f t="shared" si="186"/>
        <v>3022585861</v>
      </c>
      <c r="BF84" s="24">
        <f t="shared" si="187"/>
        <v>137768960</v>
      </c>
      <c r="BG84" s="24">
        <f t="shared" si="188"/>
        <v>1007681696</v>
      </c>
      <c r="BH84" s="24">
        <f t="shared" si="189"/>
        <v>671220736</v>
      </c>
      <c r="BI84" s="24">
        <f t="shared" si="190"/>
        <v>872415232</v>
      </c>
      <c r="BJ84" s="24">
        <f t="shared" si="191"/>
        <v>134348800</v>
      </c>
      <c r="BK84" s="24">
        <f t="shared" si="192"/>
        <v>3174629615</v>
      </c>
      <c r="BL84" s="24">
        <f t="shared" si="193"/>
        <v>2859873446</v>
      </c>
      <c r="BM84" s="24">
        <f>MOD(R83+AF84+BB84+'📦 Константы SHA-512'!D82+BI278,4294967296)</f>
        <v>3023553687</v>
      </c>
      <c r="BN84" s="24">
        <f>INT((R83+AF84+BB84+'📦 Константы SHA-512'!D82+BI278)/4294967296)</f>
        <v>2</v>
      </c>
      <c r="BO84" s="24">
        <f>MOD(Q83+AE84+BA84+'📦 Константы SHA-512'!C82+BH278+BN84,4294967296)</f>
        <v>168033219</v>
      </c>
      <c r="BP84" s="24" t="s">
        <v>376</v>
      </c>
      <c r="BQ84" s="24">
        <f t="shared" si="194"/>
        <v>2598883745</v>
      </c>
      <c r="BR84" s="24">
        <f t="shared" si="195"/>
        <v>1</v>
      </c>
      <c r="BS84" s="24">
        <f t="shared" si="196"/>
        <v>2552965665</v>
      </c>
      <c r="BU84" s="24">
        <f t="shared" si="197"/>
        <v>3782566881</v>
      </c>
      <c r="BV84" s="24">
        <f t="shared" si="198"/>
        <v>3917109691</v>
      </c>
      <c r="BW84" s="24">
        <f t="shared" si="199"/>
        <v>2720998885</v>
      </c>
      <c r="BX84" s="24">
        <f t="shared" si="200"/>
        <v>1327470136</v>
      </c>
    </row>
    <row r="85" spans="2:76" ht="12.75" customHeight="1" x14ac:dyDescent="0.25">
      <c r="B85" s="31">
        <v>80</v>
      </c>
      <c r="C85" s="53">
        <f t="shared" si="134"/>
        <v>828894140</v>
      </c>
      <c r="D85" s="53">
        <f t="shared" si="135"/>
        <v>3383110256</v>
      </c>
      <c r="E85" s="53">
        <f t="shared" si="136"/>
        <v>2720998885</v>
      </c>
      <c r="F85" s="53">
        <f t="shared" si="137"/>
        <v>1327470136</v>
      </c>
      <c r="G85" s="53">
        <f t="shared" si="138"/>
        <v>4113369167</v>
      </c>
      <c r="H85" s="53">
        <f t="shared" si="139"/>
        <v>2323100335</v>
      </c>
      <c r="I85" s="53">
        <f t="shared" si="140"/>
        <v>1032847850</v>
      </c>
      <c r="J85" s="53">
        <f t="shared" si="141"/>
        <v>3125413302</v>
      </c>
      <c r="K85" s="53">
        <f t="shared" si="142"/>
        <v>3524620633</v>
      </c>
      <c r="L85" s="53">
        <f t="shared" si="143"/>
        <v>3988733516</v>
      </c>
      <c r="M85" s="53">
        <f t="shared" si="144"/>
        <v>3782566881</v>
      </c>
      <c r="N85" s="53">
        <f t="shared" si="145"/>
        <v>3917109691</v>
      </c>
      <c r="O85" s="53">
        <f t="shared" si="146"/>
        <v>3972172187</v>
      </c>
      <c r="P85" s="53">
        <f t="shared" si="147"/>
        <v>1626119887</v>
      </c>
      <c r="Q85" s="53">
        <f t="shared" si="148"/>
        <v>2199102042</v>
      </c>
      <c r="R85" s="53">
        <f t="shared" si="149"/>
        <v>2841681610</v>
      </c>
      <c r="S85" s="24">
        <f t="shared" si="150"/>
        <v>1726973397</v>
      </c>
      <c r="T85" s="24">
        <f t="shared" si="151"/>
        <v>2408031721</v>
      </c>
      <c r="U85" s="24">
        <f t="shared" si="152"/>
        <v>2523854941</v>
      </c>
      <c r="V85" s="24">
        <f t="shared" si="153"/>
        <v>1492679262</v>
      </c>
      <c r="W85" s="24">
        <f t="shared" si="154"/>
        <v>4042571052</v>
      </c>
      <c r="X85" s="24">
        <f t="shared" si="155"/>
        <v>3723541169</v>
      </c>
      <c r="Y85" s="24">
        <f t="shared" si="156"/>
        <v>107905109</v>
      </c>
      <c r="Z85" s="24">
        <f t="shared" si="157"/>
        <v>142614600</v>
      </c>
      <c r="AA85" s="24">
        <f t="shared" si="158"/>
        <v>4035018120</v>
      </c>
      <c r="AB85" s="24">
        <f t="shared" si="159"/>
        <v>3615481783</v>
      </c>
      <c r="AC85" s="24">
        <f t="shared" si="160"/>
        <v>4034936072</v>
      </c>
      <c r="AD85" s="24">
        <f t="shared" si="161"/>
        <v>3580926641</v>
      </c>
      <c r="AE85" s="24">
        <f t="shared" si="162"/>
        <v>7717028</v>
      </c>
      <c r="AF85" s="24">
        <f t="shared" si="163"/>
        <v>177169670</v>
      </c>
      <c r="AG85" s="24">
        <f t="shared" si="164"/>
        <v>4059653002</v>
      </c>
      <c r="AH85" s="24">
        <f t="shared" si="165"/>
        <v>586309204</v>
      </c>
      <c r="AI85" s="24">
        <f t="shared" si="166"/>
        <v>1405609358</v>
      </c>
      <c r="AJ85" s="24">
        <f t="shared" si="167"/>
        <v>680249721</v>
      </c>
      <c r="AK85" s="24">
        <f t="shared" si="168"/>
        <v>3399368492</v>
      </c>
      <c r="AL85" s="24">
        <f t="shared" si="169"/>
        <v>1900305995</v>
      </c>
      <c r="AM85" s="24">
        <f t="shared" si="170"/>
        <v>1371627914</v>
      </c>
      <c r="AN85" s="24">
        <f t="shared" si="171"/>
        <v>545409104</v>
      </c>
      <c r="AO85" s="24">
        <f t="shared" si="172"/>
        <v>2722006532</v>
      </c>
      <c r="AP85" s="24">
        <f t="shared" si="173"/>
        <v>175740717</v>
      </c>
      <c r="AQ85" s="24">
        <f t="shared" si="174"/>
        <v>2183005700</v>
      </c>
      <c r="AR85" s="24">
        <f t="shared" si="175"/>
        <v>4199945</v>
      </c>
      <c r="AS85" s="24">
        <f t="shared" si="176"/>
        <v>1755363624</v>
      </c>
      <c r="AT85" s="24">
        <f t="shared" si="177"/>
        <v>2067646822</v>
      </c>
      <c r="AU85" s="24">
        <f t="shared" si="178"/>
        <v>3762291073</v>
      </c>
      <c r="AV85" s="24">
        <f t="shared" si="179"/>
        <v>1617434763</v>
      </c>
      <c r="AW85" s="24">
        <f t="shared" si="180"/>
        <v>33718298</v>
      </c>
      <c r="AX85" s="24">
        <f t="shared" si="181"/>
        <v>34368</v>
      </c>
      <c r="BA85" s="24">
        <f t="shared" si="182"/>
        <v>3796009371</v>
      </c>
      <c r="BB85" s="24">
        <f t="shared" si="183"/>
        <v>1617469131</v>
      </c>
      <c r="BC85" s="24">
        <f t="shared" si="184"/>
        <v>2687303749</v>
      </c>
      <c r="BD85" s="24">
        <f t="shared" si="185"/>
        <v>169316904</v>
      </c>
      <c r="BE85" s="24">
        <f t="shared" si="186"/>
        <v>536871392</v>
      </c>
      <c r="BF85" s="24">
        <f t="shared" si="187"/>
        <v>168428592</v>
      </c>
      <c r="BG85" s="24">
        <f t="shared" si="188"/>
        <v>889192522</v>
      </c>
      <c r="BH85" s="24">
        <f t="shared" si="189"/>
        <v>2319581350</v>
      </c>
      <c r="BI85" s="24">
        <f t="shared" si="190"/>
        <v>536870976</v>
      </c>
      <c r="BJ85" s="24">
        <f t="shared" si="191"/>
        <v>167903264</v>
      </c>
      <c r="BK85" s="24">
        <f t="shared" si="192"/>
        <v>3039625711</v>
      </c>
      <c r="BL85" s="24">
        <f t="shared" si="193"/>
        <v>2321520318</v>
      </c>
      <c r="BM85" s="24">
        <f>MOD(R84+AF85+BB85+'📦 Константы SHA-512'!D83+BI279,4294967296)</f>
        <v>3288910412</v>
      </c>
      <c r="BN85" s="24">
        <f>INT((R84+AF85+BB85+'📦 Константы SHA-512'!D83+BI279)/4294967296)</f>
        <v>1</v>
      </c>
      <c r="BO85" s="24">
        <f>MOD(Q84+AE85+BA85+'📦 Константы SHA-512'!C83+BH279+BN85,4294967296)</f>
        <v>328872100</v>
      </c>
      <c r="BP85" s="24" t="s">
        <v>377</v>
      </c>
      <c r="BQ85" s="24">
        <f t="shared" si="194"/>
        <v>94199844</v>
      </c>
      <c r="BR85" s="24">
        <f t="shared" si="195"/>
        <v>1</v>
      </c>
      <c r="BS85" s="24">
        <f t="shared" si="196"/>
        <v>500022040</v>
      </c>
      <c r="BU85" s="24">
        <f t="shared" si="197"/>
        <v>3524620633</v>
      </c>
      <c r="BV85" s="24">
        <f t="shared" si="198"/>
        <v>3988733516</v>
      </c>
      <c r="BW85" s="24">
        <f t="shared" si="199"/>
        <v>828894140</v>
      </c>
      <c r="BX85" s="24">
        <f t="shared" si="200"/>
        <v>3383110256</v>
      </c>
    </row>
    <row r="86" spans="2:76" ht="15.75" customHeight="1" x14ac:dyDescent="0.25">
      <c r="B86" s="52" t="s">
        <v>378</v>
      </c>
      <c r="C86" s="54">
        <f>MOD(C85+1779033703+INT((D85+4089235720)/4294967296),4294967296)</f>
        <v>2607927844</v>
      </c>
      <c r="D86" s="54">
        <f>MOD(D85+4089235720,4294967296)</f>
        <v>3177378680</v>
      </c>
      <c r="E86" s="54">
        <f>MOD(E85+3144134277+INT((F85+2227873595)/4294967296),4294967296)</f>
        <v>1570165866</v>
      </c>
      <c r="F86" s="54">
        <f>MOD(F85+2227873595,4294967296)</f>
        <v>3555343731</v>
      </c>
      <c r="G86" s="54">
        <f>MOD(G85+1013904242+INT((H85+4271175723)/4294967296),4294967296)</f>
        <v>832306114</v>
      </c>
      <c r="H86" s="54">
        <f>MOD(H85+4271175723,4294967296)</f>
        <v>2299308762</v>
      </c>
      <c r="I86" s="54">
        <f>MOD(I85+2773480762+INT((J85+1595750129)/4294967296),4294967296)</f>
        <v>3806328613</v>
      </c>
      <c r="J86" s="54">
        <f>MOD(J85+1595750129,4294967296)</f>
        <v>426196135</v>
      </c>
      <c r="K86" s="54">
        <f>MOD(K85+1359893119+INT((L85+2917565137)/4294967296),4294967296)</f>
        <v>589546457</v>
      </c>
      <c r="L86" s="54">
        <f>MOD(L85+2917565137,4294967296)</f>
        <v>2611331357</v>
      </c>
      <c r="M86" s="54">
        <f>MOD(M85+2600822924+INT((N85+725511199)/4294967296),4294967296)</f>
        <v>2088422510</v>
      </c>
      <c r="N86" s="54">
        <f>MOD(N85+725511199,4294967296)</f>
        <v>347653594</v>
      </c>
      <c r="O86" s="54">
        <f>MOD(O85+528734635+INT((P85+4215389547)/4294967296),4294967296)</f>
        <v>205939527</v>
      </c>
      <c r="P86" s="54">
        <f>MOD(P85+4215389547,4294967296)</f>
        <v>1546542138</v>
      </c>
      <c r="Q86" s="54">
        <f>MOD(Q85+1541459225+INT((R85+327033209)/4294967296),4294967296)</f>
        <v>3740561267</v>
      </c>
      <c r="R86" s="54">
        <f>MOD(R85+327033209,4294967296)</f>
        <v>3168714819</v>
      </c>
    </row>
    <row r="90" spans="2:76" ht="13.5" customHeight="1" x14ac:dyDescent="0.25">
      <c r="B90" s="55" t="s">
        <v>379</v>
      </c>
      <c r="C90" s="56" t="str">
        <f>LOWER(MID("0123456789abcdef",MOD(INT((MOD(INT(C86/256^3),256))/16),16)+1,1)&amp;MID("0123456789abcdef",MOD(MOD((MOD(INT(C86/256^3),256)),16),16)+1,1)&amp;MID("0123456789abcdef",MOD(INT((MOD(INT(C86/256^2),256))/16),16)+1,1)&amp;MID("0123456789abcdef",MOD(MOD((MOD(INT(C86/256^2),256)),16),16)+1,1)&amp;MID("0123456789abcdef",MOD(INT((MOD(INT(C86/256^1),256))/16),16)+1,1)&amp;MID("0123456789abcdef",MOD(MOD((MOD(INT(C86/256^1),256)),16),16)+1,1)&amp;MID("0123456789abcdef",MOD(INT((MOD(INT(C86/256^0),256))/16),16)+1,1)&amp;MID("0123456789abcdef",MOD(MOD((MOD(INT(C86/256^0),256)),16),16)+1,1)&amp;MID("0123456789abcdef",MOD(INT((MOD(INT(D86/256^3),256))/16),16)+1,1)&amp;MID("0123456789abcdef",MOD(MOD((MOD(INT(D86/256^3),256)),16),16)+1,1)&amp;MID("0123456789abcdef",MOD(INT((MOD(INT(D86/256^2),256))/16),16)+1,1)&amp;MID("0123456789abcdef",MOD(MOD((MOD(INT(D86/256^2),256)),16),16)+1,1)&amp;MID("0123456789abcdef",MOD(INT((MOD(INT(D86/256^1),256))/16),16)+1,1)&amp;MID("0123456789abcdef",MOD(MOD((MOD(INT(D86/256^1),256)),16),16)+1,1)&amp;MID("0123456789abcdef",MOD(INT((MOD(INT(D86/256^0),256))/16),16)+1,1)&amp;MID("0123456789abcdef",MOD(MOD((MOD(INT(D86/256^0),256)),16),16)+1,1))</f>
        <v>9b71d224bd62f378</v>
      </c>
    </row>
    <row r="91" spans="2:76" ht="13.5" customHeight="1" x14ac:dyDescent="0.25">
      <c r="B91" s="55" t="s">
        <v>380</v>
      </c>
      <c r="C91" s="56" t="str">
        <f>LOWER(MID("0123456789abcdef",MOD(INT((MOD(INT(E86/256^3),256))/16),16)+1,1)&amp;MID("0123456789abcdef",MOD(MOD((MOD(INT(E86/256^3),256)),16),16)+1,1)&amp;MID("0123456789abcdef",MOD(INT((MOD(INT(E86/256^2),256))/16),16)+1,1)&amp;MID("0123456789abcdef",MOD(MOD((MOD(INT(E86/256^2),256)),16),16)+1,1)&amp;MID("0123456789abcdef",MOD(INT((MOD(INT(E86/256^1),256))/16),16)+1,1)&amp;MID("0123456789abcdef",MOD(MOD((MOD(INT(E86/256^1),256)),16),16)+1,1)&amp;MID("0123456789abcdef",MOD(INT((MOD(INT(E86/256^0),256))/16),16)+1,1)&amp;MID("0123456789abcdef",MOD(MOD((MOD(INT(E86/256^0),256)),16),16)+1,1)&amp;MID("0123456789abcdef",MOD(INT((MOD(INT(F86/256^3),256))/16),16)+1,1)&amp;MID("0123456789abcdef",MOD(MOD((MOD(INT(F86/256^3),256)),16),16)+1,1)&amp;MID("0123456789abcdef",MOD(INT((MOD(INT(F86/256^2),256))/16),16)+1,1)&amp;MID("0123456789abcdef",MOD(MOD((MOD(INT(F86/256^2),256)),16),16)+1,1)&amp;MID("0123456789abcdef",MOD(INT((MOD(INT(F86/256^1),256))/16),16)+1,1)&amp;MID("0123456789abcdef",MOD(MOD((MOD(INT(F86/256^1),256)),16),16)+1,1)&amp;MID("0123456789abcdef",MOD(INT((MOD(INT(F86/256^0),256))/16),16)+1,1)&amp;MID("0123456789abcdef",MOD(MOD((MOD(INT(F86/256^0),256)),16),16)+1,1))</f>
        <v>5d96d46ad3ea3d73</v>
      </c>
    </row>
    <row r="92" spans="2:76" ht="13.5" customHeight="1" x14ac:dyDescent="0.25">
      <c r="B92" s="55" t="s">
        <v>381</v>
      </c>
      <c r="C92" s="56" t="str">
        <f>LOWER(MID("0123456789abcdef",MOD(INT((MOD(INT(G86/256^3),256))/16),16)+1,1)&amp;MID("0123456789abcdef",MOD(MOD((MOD(INT(G86/256^3),256)),16),16)+1,1)&amp;MID("0123456789abcdef",MOD(INT((MOD(INT(G86/256^2),256))/16),16)+1,1)&amp;MID("0123456789abcdef",MOD(MOD((MOD(INT(G86/256^2),256)),16),16)+1,1)&amp;MID("0123456789abcdef",MOD(INT((MOD(INT(G86/256^1),256))/16),16)+1,1)&amp;MID("0123456789abcdef",MOD(MOD((MOD(INT(G86/256^1),256)),16),16)+1,1)&amp;MID("0123456789abcdef",MOD(INT((MOD(INT(G86/256^0),256))/16),16)+1,1)&amp;MID("0123456789abcdef",MOD(MOD((MOD(INT(G86/256^0),256)),16),16)+1,1)&amp;MID("0123456789abcdef",MOD(INT((MOD(INT(H86/256^3),256))/16),16)+1,1)&amp;MID("0123456789abcdef",MOD(MOD((MOD(INT(H86/256^3),256)),16),16)+1,1)&amp;MID("0123456789abcdef",MOD(INT((MOD(INT(H86/256^2),256))/16),16)+1,1)&amp;MID("0123456789abcdef",MOD(MOD((MOD(INT(H86/256^2),256)),16),16)+1,1)&amp;MID("0123456789abcdef",MOD(INT((MOD(INT(H86/256^1),256))/16),16)+1,1)&amp;MID("0123456789abcdef",MOD(MOD((MOD(INT(H86/256^1),256)),16),16)+1,1)&amp;MID("0123456789abcdef",MOD(INT((MOD(INT(H86/256^0),256))/16),16)+1,1)&amp;MID("0123456789abcdef",MOD(MOD((MOD(INT(H86/256^0),256)),16),16)+1,1))</f>
        <v>319bfbc2890caada</v>
      </c>
    </row>
    <row r="93" spans="2:76" ht="13.5" customHeight="1" x14ac:dyDescent="0.25">
      <c r="B93" s="55" t="s">
        <v>382</v>
      </c>
      <c r="C93" s="56" t="str">
        <f>LOWER(MID("0123456789abcdef",MOD(INT((MOD(INT(I86/256^3),256))/16),16)+1,1)&amp;MID("0123456789abcdef",MOD(MOD((MOD(INT(I86/256^3),256)),16),16)+1,1)&amp;MID("0123456789abcdef",MOD(INT((MOD(INT(I86/256^2),256))/16),16)+1,1)&amp;MID("0123456789abcdef",MOD(MOD((MOD(INT(I86/256^2),256)),16),16)+1,1)&amp;MID("0123456789abcdef",MOD(INT((MOD(INT(I86/256^1),256))/16),16)+1,1)&amp;MID("0123456789abcdef",MOD(MOD((MOD(INT(I86/256^1),256)),16),16)+1,1)&amp;MID("0123456789abcdef",MOD(INT((MOD(INT(I86/256^0),256))/16),16)+1,1)&amp;MID("0123456789abcdef",MOD(MOD((MOD(INT(I86/256^0),256)),16),16)+1,1)&amp;MID("0123456789abcdef",MOD(INT((MOD(INT(J86/256^3),256))/16),16)+1,1)&amp;MID("0123456789abcdef",MOD(MOD((MOD(INT(J86/256^3),256)),16),16)+1,1)&amp;MID("0123456789abcdef",MOD(INT((MOD(INT(J86/256^2),256))/16),16)+1,1)&amp;MID("0123456789abcdef",MOD(MOD((MOD(INT(J86/256^2),256)),16),16)+1,1)&amp;MID("0123456789abcdef",MOD(INT((MOD(INT(J86/256^1),256))/16),16)+1,1)&amp;MID("0123456789abcdef",MOD(MOD((MOD(INT(J86/256^1),256)),16),16)+1,1)&amp;MID("0123456789abcdef",MOD(INT((MOD(INT(J86/256^0),256))/16),16)+1,1)&amp;MID("0123456789abcdef",MOD(MOD((MOD(INT(J86/256^0),256)),16),16)+1,1))</f>
        <v>e2dff72519673ca7</v>
      </c>
    </row>
    <row r="94" spans="2:76" ht="13.5" customHeight="1" x14ac:dyDescent="0.25">
      <c r="B94" s="55" t="s">
        <v>383</v>
      </c>
      <c r="C94" s="56" t="str">
        <f>LOWER(MID("0123456789abcdef",MOD(INT((MOD(INT(K86/256^3),256))/16),16)+1,1)&amp;MID("0123456789abcdef",MOD(MOD((MOD(INT(K86/256^3),256)),16),16)+1,1)&amp;MID("0123456789abcdef",MOD(INT((MOD(INT(K86/256^2),256))/16),16)+1,1)&amp;MID("0123456789abcdef",MOD(MOD((MOD(INT(K86/256^2),256)),16),16)+1,1)&amp;MID("0123456789abcdef",MOD(INT((MOD(INT(K86/256^1),256))/16),16)+1,1)&amp;MID("0123456789abcdef",MOD(MOD((MOD(INT(K86/256^1),256)),16),16)+1,1)&amp;MID("0123456789abcdef",MOD(INT((MOD(INT(K86/256^0),256))/16),16)+1,1)&amp;MID("0123456789abcdef",MOD(MOD((MOD(INT(K86/256^0),256)),16),16)+1,1)&amp;MID("0123456789abcdef",MOD(INT((MOD(INT(L86/256^3),256))/16),16)+1,1)&amp;MID("0123456789abcdef",MOD(MOD((MOD(INT(L86/256^3),256)),16),16)+1,1)&amp;MID("0123456789abcdef",MOD(INT((MOD(INT(L86/256^2),256))/16),16)+1,1)&amp;MID("0123456789abcdef",MOD(MOD((MOD(INT(L86/256^2),256)),16),16)+1,1)&amp;MID("0123456789abcdef",MOD(INT((MOD(INT(L86/256^1),256))/16),16)+1,1)&amp;MID("0123456789abcdef",MOD(MOD((MOD(INT(L86/256^1),256)),16),16)+1,1)&amp;MID("0123456789abcdef",MOD(INT((MOD(INT(L86/256^0),256))/16),16)+1,1)&amp;MID("0123456789abcdef",MOD(MOD((MOD(INT(L86/256^0),256)),16),16)+1,1))</f>
        <v>2323c3d99ba5c11d</v>
      </c>
    </row>
    <row r="95" spans="2:76" ht="13.5" customHeight="1" x14ac:dyDescent="0.25">
      <c r="B95" s="55" t="s">
        <v>384</v>
      </c>
      <c r="C95" s="56" t="str">
        <f>LOWER(MID("0123456789abcdef",MOD(INT((MOD(INT(M86/256^3),256))/16),16)+1,1)&amp;MID("0123456789abcdef",MOD(MOD((MOD(INT(M86/256^3),256)),16),16)+1,1)&amp;MID("0123456789abcdef",MOD(INT((MOD(INT(M86/256^2),256))/16),16)+1,1)&amp;MID("0123456789abcdef",MOD(MOD((MOD(INT(M86/256^2),256)),16),16)+1,1)&amp;MID("0123456789abcdef",MOD(INT((MOD(INT(M86/256^1),256))/16),16)+1,1)&amp;MID("0123456789abcdef",MOD(MOD((MOD(INT(M86/256^1),256)),16),16)+1,1)&amp;MID("0123456789abcdef",MOD(INT((MOD(INT(M86/256^0),256))/16),16)+1,1)&amp;MID("0123456789abcdef",MOD(MOD((MOD(INT(M86/256^0),256)),16),16)+1,1)&amp;MID("0123456789abcdef",MOD(INT((MOD(INT(N86/256^3),256))/16),16)+1,1)&amp;MID("0123456789abcdef",MOD(MOD((MOD(INT(N86/256^3),256)),16),16)+1,1)&amp;MID("0123456789abcdef",MOD(INT((MOD(INT(N86/256^2),256))/16),16)+1,1)&amp;MID("0123456789abcdef",MOD(MOD((MOD(INT(N86/256^2),256)),16),16)+1,1)&amp;MID("0123456789abcdef",MOD(INT((MOD(INT(N86/256^1),256))/16),16)+1,1)&amp;MID("0123456789abcdef",MOD(MOD((MOD(INT(N86/256^1),256)),16),16)+1,1)&amp;MID("0123456789abcdef",MOD(INT((MOD(INT(N86/256^0),256))/16),16)+1,1)&amp;MID("0123456789abcdef",MOD(MOD((MOD(INT(N86/256^0),256)),16),16)+1,1))</f>
        <v>7c7acc6e14b8c5da</v>
      </c>
    </row>
    <row r="96" spans="2:76" ht="13.5" customHeight="1" x14ac:dyDescent="0.25">
      <c r="B96" s="55" t="s">
        <v>385</v>
      </c>
      <c r="C96" s="56" t="str">
        <f>LOWER(MID("0123456789abcdef",MOD(INT((MOD(INT(O86/256^3),256))/16),16)+1,1)&amp;MID("0123456789abcdef",MOD(MOD((MOD(INT(O86/256^3),256)),16),16)+1,1)&amp;MID("0123456789abcdef",MOD(INT((MOD(INT(O86/256^2),256))/16),16)+1,1)&amp;MID("0123456789abcdef",MOD(MOD((MOD(INT(O86/256^2),256)),16),16)+1,1)&amp;MID("0123456789abcdef",MOD(INT((MOD(INT(O86/256^1),256))/16),16)+1,1)&amp;MID("0123456789abcdef",MOD(MOD((MOD(INT(O86/256^1),256)),16),16)+1,1)&amp;MID("0123456789abcdef",MOD(INT((MOD(INT(O86/256^0),256))/16),16)+1,1)&amp;MID("0123456789abcdef",MOD(MOD((MOD(INT(O86/256^0),256)),16),16)+1,1)&amp;MID("0123456789abcdef",MOD(INT((MOD(INT(P86/256^3),256))/16),16)+1,1)&amp;MID("0123456789abcdef",MOD(MOD((MOD(INT(P86/256^3),256)),16),16)+1,1)&amp;MID("0123456789abcdef",MOD(INT((MOD(INT(P86/256^2),256))/16),16)+1,1)&amp;MID("0123456789abcdef",MOD(MOD((MOD(INT(P86/256^2),256)),16),16)+1,1)&amp;MID("0123456789abcdef",MOD(INT((MOD(INT(P86/256^1),256))/16),16)+1,1)&amp;MID("0123456789abcdef",MOD(MOD((MOD(INT(P86/256^1),256)),16),16)+1,1)&amp;MID("0123456789abcdef",MOD(INT((MOD(INT(P86/256^0),256))/16),16)+1,1)&amp;MID("0123456789abcdef",MOD(MOD((MOD(INT(P86/256^0),256)),16),16)+1,1))</f>
        <v>0c4663475c2e5c3a</v>
      </c>
    </row>
    <row r="97" spans="2:3" ht="13.5" customHeight="1" x14ac:dyDescent="0.25">
      <c r="B97" s="55" t="s">
        <v>386</v>
      </c>
      <c r="C97" s="56" t="str">
        <f>LOWER(MID("0123456789abcdef",MOD(INT((MOD(INT(Q86/256^3),256))/16),16)+1,1)&amp;MID("0123456789abcdef",MOD(MOD((MOD(INT(Q86/256^3),256)),16),16)+1,1)&amp;MID("0123456789abcdef",MOD(INT((MOD(INT(Q86/256^2),256))/16),16)+1,1)&amp;MID("0123456789abcdef",MOD(MOD((MOD(INT(Q86/256^2),256)),16),16)+1,1)&amp;MID("0123456789abcdef",MOD(INT((MOD(INT(Q86/256^1),256))/16),16)+1,1)&amp;MID("0123456789abcdef",MOD(MOD((MOD(INT(Q86/256^1),256)),16),16)+1,1)&amp;MID("0123456789abcdef",MOD(INT((MOD(INT(Q86/256^0),256))/16),16)+1,1)&amp;MID("0123456789abcdef",MOD(MOD((MOD(INT(Q86/256^0),256)),16),16)+1,1)&amp;MID("0123456789abcdef",MOD(INT((MOD(INT(R86/256^3),256))/16),16)+1,1)&amp;MID("0123456789abcdef",MOD(MOD((MOD(INT(R86/256^3),256)),16),16)+1,1)&amp;MID("0123456789abcdef",MOD(INT((MOD(INT(R86/256^2),256))/16),16)+1,1)&amp;MID("0123456789abcdef",MOD(MOD((MOD(INT(R86/256^2),256)),16),16)+1,1)&amp;MID("0123456789abcdef",MOD(INT((MOD(INT(R86/256^1),256))/16),16)+1,1)&amp;MID("0123456789abcdef",MOD(MOD((MOD(INT(R86/256^1),256)),16),16)+1,1)&amp;MID("0123456789abcdef",MOD(INT((MOD(INT(R86/256^0),256))/16),16)+1,1)&amp;MID("0123456789abcdef",MOD(MOD((MOD(INT(R86/256^0),256)),16),16)+1,1))</f>
        <v>def46f73bcdec043</v>
      </c>
    </row>
    <row r="200" spans="60:61" ht="12.75" customHeight="1" x14ac:dyDescent="0.25">
      <c r="BH200" s="57">
        <f>(IF(LEN('🔐 SHA-512'!B5)&gt;0,CODE(MID('🔐 SHA-512'!B5,1,1)),IF(LEN('🔐 SHA-512'!B5)=0,128,0)))*16777216+(IF(LEN('🔐 SHA-512'!B5)&gt;1,CODE(MID('🔐 SHA-512'!B5,2,1)),IF(LEN('🔐 SHA-512'!B5)=1,128,0)))*65536+(IF(LEN('🔐 SHA-512'!B5)&gt;2,CODE(MID('🔐 SHA-512'!B5,3,1)),IF(LEN('🔐 SHA-512'!B5)=2,128,0)))*256+(IF(LEN('🔐 SHA-512'!B5)&gt;3,CODE(MID('🔐 SHA-512'!B5,4,1)),IF(LEN('🔐 SHA-512'!B5)=3,128,0)))</f>
        <v>1751477356</v>
      </c>
      <c r="BI200" s="57">
        <f>(IF(LEN('🔐 SHA-512'!B5)&gt;4,CODE(MID('🔐 SHA-512'!B5,5,1)),IF(LEN('🔐 SHA-512'!B5)=4,128,0)))*16777216+(IF(LEN('🔐 SHA-512'!B5)&gt;5,CODE(MID('🔐 SHA-512'!B5,6,1)),IF(LEN('🔐 SHA-512'!B5)=5,128,0)))*65536+(IF(LEN('🔐 SHA-512'!B5)&gt;6,CODE(MID('🔐 SHA-512'!B5,7,1)),IF(LEN('🔐 SHA-512'!B5)=6,128,0)))*256+(IF(LEN('🔐 SHA-512'!B5)=7,128,0))</f>
        <v>1870659584</v>
      </c>
    </row>
    <row r="201" spans="60:61" ht="12.75" customHeight="1" x14ac:dyDescent="0.25">
      <c r="BH201" s="57">
        <f t="shared" ref="BH201:BI214" si="201">(0)*16777216+(0)*65536+(0)*256+(0)</f>
        <v>0</v>
      </c>
      <c r="BI201" s="57">
        <f t="shared" si="201"/>
        <v>0</v>
      </c>
    </row>
    <row r="202" spans="60:61" ht="12.75" customHeight="1" x14ac:dyDescent="0.25">
      <c r="BH202" s="57">
        <f t="shared" si="201"/>
        <v>0</v>
      </c>
      <c r="BI202" s="57">
        <f t="shared" si="201"/>
        <v>0</v>
      </c>
    </row>
    <row r="203" spans="60:61" ht="12.75" customHeight="1" x14ac:dyDescent="0.25">
      <c r="BH203" s="57">
        <f t="shared" si="201"/>
        <v>0</v>
      </c>
      <c r="BI203" s="57">
        <f t="shared" si="201"/>
        <v>0</v>
      </c>
    </row>
    <row r="204" spans="60:61" ht="12.75" customHeight="1" x14ac:dyDescent="0.25">
      <c r="BH204" s="57">
        <f t="shared" si="201"/>
        <v>0</v>
      </c>
      <c r="BI204" s="57">
        <f t="shared" si="201"/>
        <v>0</v>
      </c>
    </row>
    <row r="205" spans="60:61" ht="12.75" customHeight="1" x14ac:dyDescent="0.25">
      <c r="BH205" s="57">
        <f t="shared" si="201"/>
        <v>0</v>
      </c>
      <c r="BI205" s="57">
        <f t="shared" si="201"/>
        <v>0</v>
      </c>
    </row>
    <row r="206" spans="60:61" ht="12.75" customHeight="1" x14ac:dyDescent="0.25">
      <c r="BH206" s="57">
        <f t="shared" si="201"/>
        <v>0</v>
      </c>
      <c r="BI206" s="57">
        <f t="shared" si="201"/>
        <v>0</v>
      </c>
    </row>
    <row r="207" spans="60:61" ht="12.75" customHeight="1" x14ac:dyDescent="0.25">
      <c r="BH207" s="57">
        <f t="shared" si="201"/>
        <v>0</v>
      </c>
      <c r="BI207" s="57">
        <f t="shared" si="201"/>
        <v>0</v>
      </c>
    </row>
    <row r="208" spans="60:61" ht="12.75" customHeight="1" x14ac:dyDescent="0.25">
      <c r="BH208" s="57">
        <f t="shared" si="201"/>
        <v>0</v>
      </c>
      <c r="BI208" s="57">
        <f t="shared" si="201"/>
        <v>0</v>
      </c>
    </row>
    <row r="209" spans="60:89" ht="12.75" customHeight="1" x14ac:dyDescent="0.25">
      <c r="BH209" s="57">
        <f t="shared" si="201"/>
        <v>0</v>
      </c>
      <c r="BI209" s="57">
        <f t="shared" si="201"/>
        <v>0</v>
      </c>
    </row>
    <row r="210" spans="60:89" ht="12.75" customHeight="1" x14ac:dyDescent="0.25">
      <c r="BH210" s="57">
        <f t="shared" si="201"/>
        <v>0</v>
      </c>
      <c r="BI210" s="57">
        <f t="shared" si="201"/>
        <v>0</v>
      </c>
    </row>
    <row r="211" spans="60:89" ht="12.75" customHeight="1" x14ac:dyDescent="0.25">
      <c r="BH211" s="57">
        <f t="shared" si="201"/>
        <v>0</v>
      </c>
      <c r="BI211" s="57">
        <f t="shared" si="201"/>
        <v>0</v>
      </c>
    </row>
    <row r="212" spans="60:89" ht="12.75" customHeight="1" x14ac:dyDescent="0.25">
      <c r="BH212" s="57">
        <f t="shared" si="201"/>
        <v>0</v>
      </c>
      <c r="BI212" s="57">
        <f t="shared" si="201"/>
        <v>0</v>
      </c>
    </row>
    <row r="213" spans="60:89" ht="12.75" customHeight="1" x14ac:dyDescent="0.25">
      <c r="BH213" s="57">
        <f t="shared" si="201"/>
        <v>0</v>
      </c>
      <c r="BI213" s="57">
        <f t="shared" si="201"/>
        <v>0</v>
      </c>
    </row>
    <row r="214" spans="60:89" ht="12.75" customHeight="1" x14ac:dyDescent="0.25">
      <c r="BH214" s="57">
        <f t="shared" si="201"/>
        <v>0</v>
      </c>
      <c r="BI214" s="57">
        <f t="shared" si="201"/>
        <v>0</v>
      </c>
    </row>
    <row r="215" spans="60:89" ht="12.75" customHeight="1" x14ac:dyDescent="0.25">
      <c r="BH215" s="57">
        <f>(INT(LEN('🔐 SHA-512'!B5)*8/2^56))*16777216+(MOD(INT(LEN('🔐 SHA-512'!B5)*8/2^48),256))*65536+(MOD(INT(LEN('🔐 SHA-512'!B5)*8/2^40),256))*256+(MOD(INT(LEN('🔐 SHA-512'!B5)*8/2^32),256))</f>
        <v>0</v>
      </c>
      <c r="BI215" s="57">
        <f>(MOD(INT(LEN('🔐 SHA-512'!B5)*8/16777216),256))*16777216+(MOD(INT(LEN('🔐 SHA-512'!B5)*8/65536),256))*65536+(MOD(INT(LEN('🔐 SHA-512'!B5)*8/256),256))*256+(MOD(LEN('🔐 SHA-512'!B5)*8,256))</f>
        <v>40</v>
      </c>
    </row>
    <row r="216" spans="60:89" ht="12.75" customHeight="1" x14ac:dyDescent="0.25">
      <c r="BH216" s="58">
        <f t="shared" ref="BH216:BH247" si="202">MOD(BH200+BV216+BH209+CJ216+INT((BI200+BW216+BI209+CK216)/4294967296),4294967296)</f>
        <v>1751477356</v>
      </c>
      <c r="BI216" s="58">
        <f t="shared" ref="BI216:BI247" si="203">MOD(BI200+BW216+BI209+CK216,4294967296)</f>
        <v>1870659584</v>
      </c>
      <c r="BJ216" s="59">
        <f t="shared" ref="BJ216:BJ247" si="204">MOD(INT(BH201/2^1)+MOD(BI201,2^1)*2^31,4294967296)</f>
        <v>0</v>
      </c>
      <c r="BK216" s="59">
        <f t="shared" ref="BK216:BK247" si="205">MOD(INT(BI201/2^1)+MOD(BH201,2^1)*2^31,4294967296)</f>
        <v>0</v>
      </c>
      <c r="BL216" s="59">
        <f t="shared" ref="BL216:BL247" si="206">MOD(INT(BH201/2^8)+MOD(BI201,2^8)*2^24,4294967296)</f>
        <v>0</v>
      </c>
      <c r="BM216" s="59">
        <f t="shared" ref="BM216:BM247" si="207">MOD(INT(BI201/2^8)+MOD(BH201,2^8)*2^24,4294967296)</f>
        <v>0</v>
      </c>
      <c r="BN216" s="59">
        <f t="shared" ref="BN216:BN247" si="208">INT(BH201/2^7)</f>
        <v>0</v>
      </c>
      <c r="BO216" s="59">
        <f t="shared" ref="BO216:BO247" si="209">MOD(INT(BI201/2^7)+MOD(BH201,2^7)*2^25,4294967296)</f>
        <v>0</v>
      </c>
      <c r="BP216" s="59">
        <f t="shared" ref="BP216:BP247" si="210">((MOD(INT(MOD(INT((BJ216)/1),256)/2^0),2)*MOD(INT(MOD(INT((BL216)/1),256)/2^0),2)*1+MOD(INT(MOD(INT((BJ216)/1),256)/2^1),2)*MOD(INT(MOD(INT((BL216)/1),256)/2^1),2)*2+MOD(INT(MOD(INT((BJ216)/1),256)/2^2),2)*MOD(INT(MOD(INT((BL216)/1),256)/2^2),2)*4+MOD(INT(MOD(INT((BJ216)/1),256)/2^3),2)*MOD(INT(MOD(INT((BL216)/1),256)/2^3),2)*8+MOD(INT(MOD(INT((BJ216)/1),256)/2^4),2)*MOD(INT(MOD(INT((BL216)/1),256)/2^4),2)*16+MOD(INT(MOD(INT((BJ216)/1),256)/2^5),2)*MOD(INT(MOD(INT((BL216)/1),256)/2^5),2)*32+MOD(INT(MOD(INT((BJ216)/1),256)/2^6),2)*MOD(INT(MOD(INT((BL216)/1),256)/2^6),2)*64+MOD(INT(MOD(INT((BJ216)/1),256)/2^7),2)*MOD(INT(MOD(INT((BL216)/1),256)/2^7),2)*128)*1+(MOD(INT(MOD(INT((BJ216)/256),256)/2^0),2)*MOD(INT(MOD(INT((BL216)/256),256)/2^0),2)*1+MOD(INT(MOD(INT((BJ216)/256),256)/2^1),2)*MOD(INT(MOD(INT((BL216)/256),256)/2^1),2)*2+MOD(INT(MOD(INT((BJ216)/256),256)/2^2),2)*MOD(INT(MOD(INT((BL216)/256),256)/2^2),2)*4+MOD(INT(MOD(INT((BJ216)/256),256)/2^3),2)*MOD(INT(MOD(INT((BL216)/256),256)/2^3),2)*8+MOD(INT(MOD(INT((BJ216)/256),256)/2^4),2)*MOD(INT(MOD(INT((BL216)/256),256)/2^4),2)*16+MOD(INT(MOD(INT((BJ216)/256),256)/2^5),2)*MOD(INT(MOD(INT((BL216)/256),256)/2^5),2)*32+MOD(INT(MOD(INT((BJ216)/256),256)/2^6),2)*MOD(INT(MOD(INT((BL216)/256),256)/2^6),2)*64+MOD(INT(MOD(INT((BJ216)/256),256)/2^7),2)*MOD(INT(MOD(INT((BL216)/256),256)/2^7),2)*128)*256+(MOD(INT(MOD(INT((BJ216)/65536),256)/2^0),2)*MOD(INT(MOD(INT((BL216)/65536),256)/2^0),2)*1+MOD(INT(MOD(INT((BJ216)/65536),256)/2^1),2)*MOD(INT(MOD(INT((BL216)/65536),256)/2^1),2)*2+MOD(INT(MOD(INT((BJ216)/65536),256)/2^2),2)*MOD(INT(MOD(INT((BL216)/65536),256)/2^2),2)*4+MOD(INT(MOD(INT((BJ216)/65536),256)/2^3),2)*MOD(INT(MOD(INT((BL216)/65536),256)/2^3),2)*8+MOD(INT(MOD(INT((BJ216)/65536),256)/2^4),2)*MOD(INT(MOD(INT((BL216)/65536),256)/2^4),2)*16+MOD(INT(MOD(INT((BJ216)/65536),256)/2^5),2)*MOD(INT(MOD(INT((BL216)/65536),256)/2^5),2)*32+MOD(INT(MOD(INT((BJ216)/65536),256)/2^6),2)*MOD(INT(MOD(INT((BL216)/65536),256)/2^6),2)*64+MOD(INT(MOD(INT((BJ216)/65536),256)/2^7),2)*MOD(INT(MOD(INT((BL216)/65536),256)/2^7),2)*128)*65536+(MOD(INT(MOD(INT((BJ216)/16777216),256)/2^0),2)*MOD(INT(MOD(INT((BL216)/16777216),256)/2^0),2)*1+MOD(INT(MOD(INT((BJ216)/16777216),256)/2^1),2)*MOD(INT(MOD(INT((BL216)/16777216),256)/2^1),2)*2+MOD(INT(MOD(INT((BJ216)/16777216),256)/2^2),2)*MOD(INT(MOD(INT((BL216)/16777216),256)/2^2),2)*4+MOD(INT(MOD(INT((BJ216)/16777216),256)/2^3),2)*MOD(INT(MOD(INT((BL216)/16777216),256)/2^3),2)*8+MOD(INT(MOD(INT((BJ216)/16777216),256)/2^4),2)*MOD(INT(MOD(INT((BL216)/16777216),256)/2^4),2)*16+MOD(INT(MOD(INT((BJ216)/16777216),256)/2^5),2)*MOD(INT(MOD(INT((BL216)/16777216),256)/2^5),2)*32+MOD(INT(MOD(INT((BJ216)/16777216),256)/2^6),2)*MOD(INT(MOD(INT((BL216)/16777216),256)/2^6),2)*64+MOD(INT(MOD(INT((BJ216)/16777216),256)/2^7),2)*MOD(INT(MOD(INT((BL216)/16777216),256)/2^7),2)*128)*16777216)</f>
        <v>0</v>
      </c>
      <c r="BQ216" s="59">
        <f t="shared" ref="BQ216:BQ247" si="211">((MOD(INT(MOD(INT((BK216)/1),256)/2^0),2)*MOD(INT(MOD(INT((BM216)/1),256)/2^0),2)*1+MOD(INT(MOD(INT((BK216)/1),256)/2^1),2)*MOD(INT(MOD(INT((BM216)/1),256)/2^1),2)*2+MOD(INT(MOD(INT((BK216)/1),256)/2^2),2)*MOD(INT(MOD(INT((BM216)/1),256)/2^2),2)*4+MOD(INT(MOD(INT((BK216)/1),256)/2^3),2)*MOD(INT(MOD(INT((BM216)/1),256)/2^3),2)*8+MOD(INT(MOD(INT((BK216)/1),256)/2^4),2)*MOD(INT(MOD(INT((BM216)/1),256)/2^4),2)*16+MOD(INT(MOD(INT((BK216)/1),256)/2^5),2)*MOD(INT(MOD(INT((BM216)/1),256)/2^5),2)*32+MOD(INT(MOD(INT((BK216)/1),256)/2^6),2)*MOD(INT(MOD(INT((BM216)/1),256)/2^6),2)*64+MOD(INT(MOD(INT((BK216)/1),256)/2^7),2)*MOD(INT(MOD(INT((BM216)/1),256)/2^7),2)*128)*1+(MOD(INT(MOD(INT((BK216)/256),256)/2^0),2)*MOD(INT(MOD(INT((BM216)/256),256)/2^0),2)*1+MOD(INT(MOD(INT((BK216)/256),256)/2^1),2)*MOD(INT(MOD(INT((BM216)/256),256)/2^1),2)*2+MOD(INT(MOD(INT((BK216)/256),256)/2^2),2)*MOD(INT(MOD(INT((BM216)/256),256)/2^2),2)*4+MOD(INT(MOD(INT((BK216)/256),256)/2^3),2)*MOD(INT(MOD(INT((BM216)/256),256)/2^3),2)*8+MOD(INT(MOD(INT((BK216)/256),256)/2^4),2)*MOD(INT(MOD(INT((BM216)/256),256)/2^4),2)*16+MOD(INT(MOD(INT((BK216)/256),256)/2^5),2)*MOD(INT(MOD(INT((BM216)/256),256)/2^5),2)*32+MOD(INT(MOD(INT((BK216)/256),256)/2^6),2)*MOD(INT(MOD(INT((BM216)/256),256)/2^6),2)*64+MOD(INT(MOD(INT((BK216)/256),256)/2^7),2)*MOD(INT(MOD(INT((BM216)/256),256)/2^7),2)*128)*256+(MOD(INT(MOD(INT((BK216)/65536),256)/2^0),2)*MOD(INT(MOD(INT((BM216)/65536),256)/2^0),2)*1+MOD(INT(MOD(INT((BK216)/65536),256)/2^1),2)*MOD(INT(MOD(INT((BM216)/65536),256)/2^1),2)*2+MOD(INT(MOD(INT((BK216)/65536),256)/2^2),2)*MOD(INT(MOD(INT((BM216)/65536),256)/2^2),2)*4+MOD(INT(MOD(INT((BK216)/65536),256)/2^3),2)*MOD(INT(MOD(INT((BM216)/65536),256)/2^3),2)*8+MOD(INT(MOD(INT((BK216)/65536),256)/2^4),2)*MOD(INT(MOD(INT((BM216)/65536),256)/2^4),2)*16+MOD(INT(MOD(INT((BK216)/65536),256)/2^5),2)*MOD(INT(MOD(INT((BM216)/65536),256)/2^5),2)*32+MOD(INT(MOD(INT((BK216)/65536),256)/2^6),2)*MOD(INT(MOD(INT((BM216)/65536),256)/2^6),2)*64+MOD(INT(MOD(INT((BK216)/65536),256)/2^7),2)*MOD(INT(MOD(INT((BM216)/65536),256)/2^7),2)*128)*65536+(MOD(INT(MOD(INT((BK216)/16777216),256)/2^0),2)*MOD(INT(MOD(INT((BM216)/16777216),256)/2^0),2)*1+MOD(INT(MOD(INT((BK216)/16777216),256)/2^1),2)*MOD(INT(MOD(INT((BM216)/16777216),256)/2^1),2)*2+MOD(INT(MOD(INT((BK216)/16777216),256)/2^2),2)*MOD(INT(MOD(INT((BM216)/16777216),256)/2^2),2)*4+MOD(INT(MOD(INT((BK216)/16777216),256)/2^3),2)*MOD(INT(MOD(INT((BM216)/16777216),256)/2^3),2)*8+MOD(INT(MOD(INT((BK216)/16777216),256)/2^4),2)*MOD(INT(MOD(INT((BM216)/16777216),256)/2^4),2)*16+MOD(INT(MOD(INT((BK216)/16777216),256)/2^5),2)*MOD(INT(MOD(INT((BM216)/16777216),256)/2^5),2)*32+MOD(INT(MOD(INT((BK216)/16777216),256)/2^6),2)*MOD(INT(MOD(INT((BM216)/16777216),256)/2^6),2)*64+MOD(INT(MOD(INT((BK216)/16777216),256)/2^7),2)*MOD(INT(MOD(INT((BM216)/16777216),256)/2^7),2)*128)*16777216)</f>
        <v>0</v>
      </c>
      <c r="BR216" s="59">
        <f t="shared" ref="BR216:BR247" si="212">MOD(BJ216+BL216-2*BP216,4294967296)</f>
        <v>0</v>
      </c>
      <c r="BS216" s="59">
        <f t="shared" ref="BS216:BS247" si="213">MOD(BK216+BM216-2*BQ216,4294967296)</f>
        <v>0</v>
      </c>
      <c r="BT216" s="59">
        <f t="shared" ref="BT216:BT247" si="214">((MOD(INT(MOD(INT((BR216)/1),256)/2^0),2)*MOD(INT(MOD(INT((BN216)/1),256)/2^0),2)*1+MOD(INT(MOD(INT((BR216)/1),256)/2^1),2)*MOD(INT(MOD(INT((BN216)/1),256)/2^1),2)*2+MOD(INT(MOD(INT((BR216)/1),256)/2^2),2)*MOD(INT(MOD(INT((BN216)/1),256)/2^2),2)*4+MOD(INT(MOD(INT((BR216)/1),256)/2^3),2)*MOD(INT(MOD(INT((BN216)/1),256)/2^3),2)*8+MOD(INT(MOD(INT((BR216)/1),256)/2^4),2)*MOD(INT(MOD(INT((BN216)/1),256)/2^4),2)*16+MOD(INT(MOD(INT((BR216)/1),256)/2^5),2)*MOD(INT(MOD(INT((BN216)/1),256)/2^5),2)*32+MOD(INT(MOD(INT((BR216)/1),256)/2^6),2)*MOD(INT(MOD(INT((BN216)/1),256)/2^6),2)*64+MOD(INT(MOD(INT((BR216)/1),256)/2^7),2)*MOD(INT(MOD(INT((BN216)/1),256)/2^7),2)*128)*1+(MOD(INT(MOD(INT((BR216)/256),256)/2^0),2)*MOD(INT(MOD(INT((BN216)/256),256)/2^0),2)*1+MOD(INT(MOD(INT((BR216)/256),256)/2^1),2)*MOD(INT(MOD(INT((BN216)/256),256)/2^1),2)*2+MOD(INT(MOD(INT((BR216)/256),256)/2^2),2)*MOD(INT(MOD(INT((BN216)/256),256)/2^2),2)*4+MOD(INT(MOD(INT((BR216)/256),256)/2^3),2)*MOD(INT(MOD(INT((BN216)/256),256)/2^3),2)*8+MOD(INT(MOD(INT((BR216)/256),256)/2^4),2)*MOD(INT(MOD(INT((BN216)/256),256)/2^4),2)*16+MOD(INT(MOD(INT((BR216)/256),256)/2^5),2)*MOD(INT(MOD(INT((BN216)/256),256)/2^5),2)*32+MOD(INT(MOD(INT((BR216)/256),256)/2^6),2)*MOD(INT(MOD(INT((BN216)/256),256)/2^6),2)*64+MOD(INT(MOD(INT((BR216)/256),256)/2^7),2)*MOD(INT(MOD(INT((BN216)/256),256)/2^7),2)*128)*256+(MOD(INT(MOD(INT((BR216)/65536),256)/2^0),2)*MOD(INT(MOD(INT((BN216)/65536),256)/2^0),2)*1+MOD(INT(MOD(INT((BR216)/65536),256)/2^1),2)*MOD(INT(MOD(INT((BN216)/65536),256)/2^1),2)*2+MOD(INT(MOD(INT((BR216)/65536),256)/2^2),2)*MOD(INT(MOD(INT((BN216)/65536),256)/2^2),2)*4+MOD(INT(MOD(INT((BR216)/65536),256)/2^3),2)*MOD(INT(MOD(INT((BN216)/65536),256)/2^3),2)*8+MOD(INT(MOD(INT((BR216)/65536),256)/2^4),2)*MOD(INT(MOD(INT((BN216)/65536),256)/2^4),2)*16+MOD(INT(MOD(INT((BR216)/65536),256)/2^5),2)*MOD(INT(MOD(INT((BN216)/65536),256)/2^5),2)*32+MOD(INT(MOD(INT((BR216)/65536),256)/2^6),2)*MOD(INT(MOD(INT((BN216)/65536),256)/2^6),2)*64+MOD(INT(MOD(INT((BR216)/65536),256)/2^7),2)*MOD(INT(MOD(INT((BN216)/65536),256)/2^7),2)*128)*65536+(MOD(INT(MOD(INT((BR216)/16777216),256)/2^0),2)*MOD(INT(MOD(INT((BN216)/16777216),256)/2^0),2)*1+MOD(INT(MOD(INT((BR216)/16777216),256)/2^1),2)*MOD(INT(MOD(INT((BN216)/16777216),256)/2^1),2)*2+MOD(INT(MOD(INT((BR216)/16777216),256)/2^2),2)*MOD(INT(MOD(INT((BN216)/16777216),256)/2^2),2)*4+MOD(INT(MOD(INT((BR216)/16777216),256)/2^3),2)*MOD(INT(MOD(INT((BN216)/16777216),256)/2^3),2)*8+MOD(INT(MOD(INT((BR216)/16777216),256)/2^4),2)*MOD(INT(MOD(INT((BN216)/16777216),256)/2^4),2)*16+MOD(INT(MOD(INT((BR216)/16777216),256)/2^5),2)*MOD(INT(MOD(INT((BN216)/16777216),256)/2^5),2)*32+MOD(INT(MOD(INT((BR216)/16777216),256)/2^6),2)*MOD(INT(MOD(INT((BN216)/16777216),256)/2^6),2)*64+MOD(INT(MOD(INT((BR216)/16777216),256)/2^7),2)*MOD(INT(MOD(INT((BN216)/16777216),256)/2^7),2)*128)*16777216)</f>
        <v>0</v>
      </c>
      <c r="BU216" s="59">
        <f t="shared" ref="BU216:BU247" si="215">((MOD(INT(MOD(INT((BS216)/1),256)/2^0),2)*MOD(INT(MOD(INT((BO216)/1),256)/2^0),2)*1+MOD(INT(MOD(INT((BS216)/1),256)/2^1),2)*MOD(INT(MOD(INT((BO216)/1),256)/2^1),2)*2+MOD(INT(MOD(INT((BS216)/1),256)/2^2),2)*MOD(INT(MOD(INT((BO216)/1),256)/2^2),2)*4+MOD(INT(MOD(INT((BS216)/1),256)/2^3),2)*MOD(INT(MOD(INT((BO216)/1),256)/2^3),2)*8+MOD(INT(MOD(INT((BS216)/1),256)/2^4),2)*MOD(INT(MOD(INT((BO216)/1),256)/2^4),2)*16+MOD(INT(MOD(INT((BS216)/1),256)/2^5),2)*MOD(INT(MOD(INT((BO216)/1),256)/2^5),2)*32+MOD(INT(MOD(INT((BS216)/1),256)/2^6),2)*MOD(INT(MOD(INT((BO216)/1),256)/2^6),2)*64+MOD(INT(MOD(INT((BS216)/1),256)/2^7),2)*MOD(INT(MOD(INT((BO216)/1),256)/2^7),2)*128)*1+(MOD(INT(MOD(INT((BS216)/256),256)/2^0),2)*MOD(INT(MOD(INT((BO216)/256),256)/2^0),2)*1+MOD(INT(MOD(INT((BS216)/256),256)/2^1),2)*MOD(INT(MOD(INT((BO216)/256),256)/2^1),2)*2+MOD(INT(MOD(INT((BS216)/256),256)/2^2),2)*MOD(INT(MOD(INT((BO216)/256),256)/2^2),2)*4+MOD(INT(MOD(INT((BS216)/256),256)/2^3),2)*MOD(INT(MOD(INT((BO216)/256),256)/2^3),2)*8+MOD(INT(MOD(INT((BS216)/256),256)/2^4),2)*MOD(INT(MOD(INT((BO216)/256),256)/2^4),2)*16+MOD(INT(MOD(INT((BS216)/256),256)/2^5),2)*MOD(INT(MOD(INT((BO216)/256),256)/2^5),2)*32+MOD(INT(MOD(INT((BS216)/256),256)/2^6),2)*MOD(INT(MOD(INT((BO216)/256),256)/2^6),2)*64+MOD(INT(MOD(INT((BS216)/256),256)/2^7),2)*MOD(INT(MOD(INT((BO216)/256),256)/2^7),2)*128)*256+(MOD(INT(MOD(INT((BS216)/65536),256)/2^0),2)*MOD(INT(MOD(INT((BO216)/65536),256)/2^0),2)*1+MOD(INT(MOD(INT((BS216)/65536),256)/2^1),2)*MOD(INT(MOD(INT((BO216)/65536),256)/2^1),2)*2+MOD(INT(MOD(INT((BS216)/65536),256)/2^2),2)*MOD(INT(MOD(INT((BO216)/65536),256)/2^2),2)*4+MOD(INT(MOD(INT((BS216)/65536),256)/2^3),2)*MOD(INT(MOD(INT((BO216)/65536),256)/2^3),2)*8+MOD(INT(MOD(INT((BS216)/65536),256)/2^4),2)*MOD(INT(MOD(INT((BO216)/65536),256)/2^4),2)*16+MOD(INT(MOD(INT((BS216)/65536),256)/2^5),2)*MOD(INT(MOD(INT((BO216)/65536),256)/2^5),2)*32+MOD(INT(MOD(INT((BS216)/65536),256)/2^6),2)*MOD(INT(MOD(INT((BO216)/65536),256)/2^6),2)*64+MOD(INT(MOD(INT((BS216)/65536),256)/2^7),2)*MOD(INT(MOD(INT((BO216)/65536),256)/2^7),2)*128)*65536+(MOD(INT(MOD(INT((BS216)/16777216),256)/2^0),2)*MOD(INT(MOD(INT((BO216)/16777216),256)/2^0),2)*1+MOD(INT(MOD(INT((BS216)/16777216),256)/2^1),2)*MOD(INT(MOD(INT((BO216)/16777216),256)/2^1),2)*2+MOD(INT(MOD(INT((BS216)/16777216),256)/2^2),2)*MOD(INT(MOD(INT((BO216)/16777216),256)/2^2),2)*4+MOD(INT(MOD(INT((BS216)/16777216),256)/2^3),2)*MOD(INT(MOD(INT((BO216)/16777216),256)/2^3),2)*8+MOD(INT(MOD(INT((BS216)/16777216),256)/2^4),2)*MOD(INT(MOD(INT((BO216)/16777216),256)/2^4),2)*16+MOD(INT(MOD(INT((BS216)/16777216),256)/2^5),2)*MOD(INT(MOD(INT((BO216)/16777216),256)/2^5),2)*32+MOD(INT(MOD(INT((BS216)/16777216),256)/2^6),2)*MOD(INT(MOD(INT((BO216)/16777216),256)/2^6),2)*64+MOD(INT(MOD(INT((BS216)/16777216),256)/2^7),2)*MOD(INT(MOD(INT((BO216)/16777216),256)/2^7),2)*128)*16777216)</f>
        <v>0</v>
      </c>
      <c r="BV216" s="59">
        <f t="shared" ref="BV216:BV247" si="216">MOD(BR216+BN216-2*BT216,4294967296)</f>
        <v>0</v>
      </c>
      <c r="BW216" s="59">
        <f t="shared" ref="BW216:BW247" si="217">MOD(BS216+BO216-2*BU216,4294967296)</f>
        <v>0</v>
      </c>
      <c r="BX216" s="59">
        <f t="shared" ref="BX216:BX247" si="218">MOD(INT(BH214/2^19)+MOD(BI214,2^19)*2^13,4294967296)</f>
        <v>0</v>
      </c>
      <c r="BY216" s="59">
        <f t="shared" ref="BY216:BY247" si="219">MOD(INT(BI214/2^19)+MOD(BH214,2^19)*2^13,4294967296)</f>
        <v>0</v>
      </c>
      <c r="BZ216" s="59">
        <f t="shared" ref="BZ216:BZ247" si="220">MOD(INT(BI214/2^29)+MOD(BH214,2^29)*2^3,4294967296)</f>
        <v>0</v>
      </c>
      <c r="CA216" s="59">
        <f t="shared" ref="CA216:CA247" si="221">MOD(INT(BH214/2^29)+MOD(BI214,2^29)*2^3,4294967296)</f>
        <v>0</v>
      </c>
      <c r="CB216" s="59">
        <f t="shared" ref="CB216:CB247" si="222">INT(BH214/2^6)</f>
        <v>0</v>
      </c>
      <c r="CC216" s="59">
        <f t="shared" ref="CC216:CC247" si="223">MOD(INT(BI214/2^6)+MOD(BH214,2^6)*2^26,4294967296)</f>
        <v>0</v>
      </c>
      <c r="CD216" s="59">
        <f t="shared" ref="CD216:CD247" si="224">((MOD(INT(MOD(INT((BX216)/1),256)/2^0),2)*MOD(INT(MOD(INT((BZ216)/1),256)/2^0),2)*1+MOD(INT(MOD(INT((BX216)/1),256)/2^1),2)*MOD(INT(MOD(INT((BZ216)/1),256)/2^1),2)*2+MOD(INT(MOD(INT((BX216)/1),256)/2^2),2)*MOD(INT(MOD(INT((BZ216)/1),256)/2^2),2)*4+MOD(INT(MOD(INT((BX216)/1),256)/2^3),2)*MOD(INT(MOD(INT((BZ216)/1),256)/2^3),2)*8+MOD(INT(MOD(INT((BX216)/1),256)/2^4),2)*MOD(INT(MOD(INT((BZ216)/1),256)/2^4),2)*16+MOD(INT(MOD(INT((BX216)/1),256)/2^5),2)*MOD(INT(MOD(INT((BZ216)/1),256)/2^5),2)*32+MOD(INT(MOD(INT((BX216)/1),256)/2^6),2)*MOD(INT(MOD(INT((BZ216)/1),256)/2^6),2)*64+MOD(INT(MOD(INT((BX216)/1),256)/2^7),2)*MOD(INT(MOD(INT((BZ216)/1),256)/2^7),2)*128)*1+(MOD(INT(MOD(INT((BX216)/256),256)/2^0),2)*MOD(INT(MOD(INT((BZ216)/256),256)/2^0),2)*1+MOD(INT(MOD(INT((BX216)/256),256)/2^1),2)*MOD(INT(MOD(INT((BZ216)/256),256)/2^1),2)*2+MOD(INT(MOD(INT((BX216)/256),256)/2^2),2)*MOD(INT(MOD(INT((BZ216)/256),256)/2^2),2)*4+MOD(INT(MOD(INT((BX216)/256),256)/2^3),2)*MOD(INT(MOD(INT((BZ216)/256),256)/2^3),2)*8+MOD(INT(MOD(INT((BX216)/256),256)/2^4),2)*MOD(INT(MOD(INT((BZ216)/256),256)/2^4),2)*16+MOD(INT(MOD(INT((BX216)/256),256)/2^5),2)*MOD(INT(MOD(INT((BZ216)/256),256)/2^5),2)*32+MOD(INT(MOD(INT((BX216)/256),256)/2^6),2)*MOD(INT(MOD(INT((BZ216)/256),256)/2^6),2)*64+MOD(INT(MOD(INT((BX216)/256),256)/2^7),2)*MOD(INT(MOD(INT((BZ216)/256),256)/2^7),2)*128)*256+(MOD(INT(MOD(INT((BX216)/65536),256)/2^0),2)*MOD(INT(MOD(INT((BZ216)/65536),256)/2^0),2)*1+MOD(INT(MOD(INT((BX216)/65536),256)/2^1),2)*MOD(INT(MOD(INT((BZ216)/65536),256)/2^1),2)*2+MOD(INT(MOD(INT((BX216)/65536),256)/2^2),2)*MOD(INT(MOD(INT((BZ216)/65536),256)/2^2),2)*4+MOD(INT(MOD(INT((BX216)/65536),256)/2^3),2)*MOD(INT(MOD(INT((BZ216)/65536),256)/2^3),2)*8+MOD(INT(MOD(INT((BX216)/65536),256)/2^4),2)*MOD(INT(MOD(INT((BZ216)/65536),256)/2^4),2)*16+MOD(INT(MOD(INT((BX216)/65536),256)/2^5),2)*MOD(INT(MOD(INT((BZ216)/65536),256)/2^5),2)*32+MOD(INT(MOD(INT((BX216)/65536),256)/2^6),2)*MOD(INT(MOD(INT((BZ216)/65536),256)/2^6),2)*64+MOD(INT(MOD(INT((BX216)/65536),256)/2^7),2)*MOD(INT(MOD(INT((BZ216)/65536),256)/2^7),2)*128)*65536+(MOD(INT(MOD(INT((BX216)/16777216),256)/2^0),2)*MOD(INT(MOD(INT((BZ216)/16777216),256)/2^0),2)*1+MOD(INT(MOD(INT((BX216)/16777216),256)/2^1),2)*MOD(INT(MOD(INT((BZ216)/16777216),256)/2^1),2)*2+MOD(INT(MOD(INT((BX216)/16777216),256)/2^2),2)*MOD(INT(MOD(INT((BZ216)/16777216),256)/2^2),2)*4+MOD(INT(MOD(INT((BX216)/16777216),256)/2^3),2)*MOD(INT(MOD(INT((BZ216)/16777216),256)/2^3),2)*8+MOD(INT(MOD(INT((BX216)/16777216),256)/2^4),2)*MOD(INT(MOD(INT((BZ216)/16777216),256)/2^4),2)*16+MOD(INT(MOD(INT((BX216)/16777216),256)/2^5),2)*MOD(INT(MOD(INT((BZ216)/16777216),256)/2^5),2)*32+MOD(INT(MOD(INT((BX216)/16777216),256)/2^6),2)*MOD(INT(MOD(INT((BZ216)/16777216),256)/2^6),2)*64+MOD(INT(MOD(INT((BX216)/16777216),256)/2^7),2)*MOD(INT(MOD(INT((BZ216)/16777216),256)/2^7),2)*128)*16777216)</f>
        <v>0</v>
      </c>
      <c r="CE216" s="59">
        <f t="shared" ref="CE216:CE247" si="225">((MOD(INT(MOD(INT((BY216)/1),256)/2^0),2)*MOD(INT(MOD(INT((CA216)/1),256)/2^0),2)*1+MOD(INT(MOD(INT((BY216)/1),256)/2^1),2)*MOD(INT(MOD(INT((CA216)/1),256)/2^1),2)*2+MOD(INT(MOD(INT((BY216)/1),256)/2^2),2)*MOD(INT(MOD(INT((CA216)/1),256)/2^2),2)*4+MOD(INT(MOD(INT((BY216)/1),256)/2^3),2)*MOD(INT(MOD(INT((CA216)/1),256)/2^3),2)*8+MOD(INT(MOD(INT((BY216)/1),256)/2^4),2)*MOD(INT(MOD(INT((CA216)/1),256)/2^4),2)*16+MOD(INT(MOD(INT((BY216)/1),256)/2^5),2)*MOD(INT(MOD(INT((CA216)/1),256)/2^5),2)*32+MOD(INT(MOD(INT((BY216)/1),256)/2^6),2)*MOD(INT(MOD(INT((CA216)/1),256)/2^6),2)*64+MOD(INT(MOD(INT((BY216)/1),256)/2^7),2)*MOD(INT(MOD(INT((CA216)/1),256)/2^7),2)*128)*1+(MOD(INT(MOD(INT((BY216)/256),256)/2^0),2)*MOD(INT(MOD(INT((CA216)/256),256)/2^0),2)*1+MOD(INT(MOD(INT((BY216)/256),256)/2^1),2)*MOD(INT(MOD(INT((CA216)/256),256)/2^1),2)*2+MOD(INT(MOD(INT((BY216)/256),256)/2^2),2)*MOD(INT(MOD(INT((CA216)/256),256)/2^2),2)*4+MOD(INT(MOD(INT((BY216)/256),256)/2^3),2)*MOD(INT(MOD(INT((CA216)/256),256)/2^3),2)*8+MOD(INT(MOD(INT((BY216)/256),256)/2^4),2)*MOD(INT(MOD(INT((CA216)/256),256)/2^4),2)*16+MOD(INT(MOD(INT((BY216)/256),256)/2^5),2)*MOD(INT(MOD(INT((CA216)/256),256)/2^5),2)*32+MOD(INT(MOD(INT((BY216)/256),256)/2^6),2)*MOD(INT(MOD(INT((CA216)/256),256)/2^6),2)*64+MOD(INT(MOD(INT((BY216)/256),256)/2^7),2)*MOD(INT(MOD(INT((CA216)/256),256)/2^7),2)*128)*256+(MOD(INT(MOD(INT((BY216)/65536),256)/2^0),2)*MOD(INT(MOD(INT((CA216)/65536),256)/2^0),2)*1+MOD(INT(MOD(INT((BY216)/65536),256)/2^1),2)*MOD(INT(MOD(INT((CA216)/65536),256)/2^1),2)*2+MOD(INT(MOD(INT((BY216)/65536),256)/2^2),2)*MOD(INT(MOD(INT((CA216)/65536),256)/2^2),2)*4+MOD(INT(MOD(INT((BY216)/65536),256)/2^3),2)*MOD(INT(MOD(INT((CA216)/65536),256)/2^3),2)*8+MOD(INT(MOD(INT((BY216)/65536),256)/2^4),2)*MOD(INT(MOD(INT((CA216)/65536),256)/2^4),2)*16+MOD(INT(MOD(INT((BY216)/65536),256)/2^5),2)*MOD(INT(MOD(INT((CA216)/65536),256)/2^5),2)*32+MOD(INT(MOD(INT((BY216)/65536),256)/2^6),2)*MOD(INT(MOD(INT((CA216)/65536),256)/2^6),2)*64+MOD(INT(MOD(INT((BY216)/65536),256)/2^7),2)*MOD(INT(MOD(INT((CA216)/65536),256)/2^7),2)*128)*65536+(MOD(INT(MOD(INT((BY216)/16777216),256)/2^0),2)*MOD(INT(MOD(INT((CA216)/16777216),256)/2^0),2)*1+MOD(INT(MOD(INT((BY216)/16777216),256)/2^1),2)*MOD(INT(MOD(INT((CA216)/16777216),256)/2^1),2)*2+MOD(INT(MOD(INT((BY216)/16777216),256)/2^2),2)*MOD(INT(MOD(INT((CA216)/16777216),256)/2^2),2)*4+MOD(INT(MOD(INT((BY216)/16777216),256)/2^3),2)*MOD(INT(MOD(INT((CA216)/16777216),256)/2^3),2)*8+MOD(INT(MOD(INT((BY216)/16777216),256)/2^4),2)*MOD(INT(MOD(INT((CA216)/16777216),256)/2^4),2)*16+MOD(INT(MOD(INT((BY216)/16777216),256)/2^5),2)*MOD(INT(MOD(INT((CA216)/16777216),256)/2^5),2)*32+MOD(INT(MOD(INT((BY216)/16777216),256)/2^6),2)*MOD(INT(MOD(INT((CA216)/16777216),256)/2^6),2)*64+MOD(INT(MOD(INT((BY216)/16777216),256)/2^7),2)*MOD(INT(MOD(INT((CA216)/16777216),256)/2^7),2)*128)*16777216)</f>
        <v>0</v>
      </c>
      <c r="CF216" s="59">
        <f t="shared" ref="CF216:CF247" si="226">MOD(BX216+BZ216-2*CD216,4294967296)</f>
        <v>0</v>
      </c>
      <c r="CG216" s="59">
        <f t="shared" ref="CG216:CG247" si="227">MOD(BY216+CA216-2*CE216,4294967296)</f>
        <v>0</v>
      </c>
      <c r="CH216" s="59">
        <f t="shared" ref="CH216:CH247" si="228">((MOD(INT(MOD(INT((CF216)/1),256)/2^0),2)*MOD(INT(MOD(INT((CB216)/1),256)/2^0),2)*1+MOD(INT(MOD(INT((CF216)/1),256)/2^1),2)*MOD(INT(MOD(INT((CB216)/1),256)/2^1),2)*2+MOD(INT(MOD(INT((CF216)/1),256)/2^2),2)*MOD(INT(MOD(INT((CB216)/1),256)/2^2),2)*4+MOD(INT(MOD(INT((CF216)/1),256)/2^3),2)*MOD(INT(MOD(INT((CB216)/1),256)/2^3),2)*8+MOD(INT(MOD(INT((CF216)/1),256)/2^4),2)*MOD(INT(MOD(INT((CB216)/1),256)/2^4),2)*16+MOD(INT(MOD(INT((CF216)/1),256)/2^5),2)*MOD(INT(MOD(INT((CB216)/1),256)/2^5),2)*32+MOD(INT(MOD(INT((CF216)/1),256)/2^6),2)*MOD(INT(MOD(INT((CB216)/1),256)/2^6),2)*64+MOD(INT(MOD(INT((CF216)/1),256)/2^7),2)*MOD(INT(MOD(INT((CB216)/1),256)/2^7),2)*128)*1+(MOD(INT(MOD(INT((CF216)/256),256)/2^0),2)*MOD(INT(MOD(INT((CB216)/256),256)/2^0),2)*1+MOD(INT(MOD(INT((CF216)/256),256)/2^1),2)*MOD(INT(MOD(INT((CB216)/256),256)/2^1),2)*2+MOD(INT(MOD(INT((CF216)/256),256)/2^2),2)*MOD(INT(MOD(INT((CB216)/256),256)/2^2),2)*4+MOD(INT(MOD(INT((CF216)/256),256)/2^3),2)*MOD(INT(MOD(INT((CB216)/256),256)/2^3),2)*8+MOD(INT(MOD(INT((CF216)/256),256)/2^4),2)*MOD(INT(MOD(INT((CB216)/256),256)/2^4),2)*16+MOD(INT(MOD(INT((CF216)/256),256)/2^5),2)*MOD(INT(MOD(INT((CB216)/256),256)/2^5),2)*32+MOD(INT(MOD(INT((CF216)/256),256)/2^6),2)*MOD(INT(MOD(INT((CB216)/256),256)/2^6),2)*64+MOD(INT(MOD(INT((CF216)/256),256)/2^7),2)*MOD(INT(MOD(INT((CB216)/256),256)/2^7),2)*128)*256+(MOD(INT(MOD(INT((CF216)/65536),256)/2^0),2)*MOD(INT(MOD(INT((CB216)/65536),256)/2^0),2)*1+MOD(INT(MOD(INT((CF216)/65536),256)/2^1),2)*MOD(INT(MOD(INT((CB216)/65536),256)/2^1),2)*2+MOD(INT(MOD(INT((CF216)/65536),256)/2^2),2)*MOD(INT(MOD(INT((CB216)/65536),256)/2^2),2)*4+MOD(INT(MOD(INT((CF216)/65536),256)/2^3),2)*MOD(INT(MOD(INT((CB216)/65536),256)/2^3),2)*8+MOD(INT(MOD(INT((CF216)/65536),256)/2^4),2)*MOD(INT(MOD(INT((CB216)/65536),256)/2^4),2)*16+MOD(INT(MOD(INT((CF216)/65536),256)/2^5),2)*MOD(INT(MOD(INT((CB216)/65536),256)/2^5),2)*32+MOD(INT(MOD(INT((CF216)/65536),256)/2^6),2)*MOD(INT(MOD(INT((CB216)/65536),256)/2^6),2)*64+MOD(INT(MOD(INT((CF216)/65536),256)/2^7),2)*MOD(INT(MOD(INT((CB216)/65536),256)/2^7),2)*128)*65536+(MOD(INT(MOD(INT((CF216)/16777216),256)/2^0),2)*MOD(INT(MOD(INT((CB216)/16777216),256)/2^0),2)*1+MOD(INT(MOD(INT((CF216)/16777216),256)/2^1),2)*MOD(INT(MOD(INT((CB216)/16777216),256)/2^1),2)*2+MOD(INT(MOD(INT((CF216)/16777216),256)/2^2),2)*MOD(INT(MOD(INT((CB216)/16777216),256)/2^2),2)*4+MOD(INT(MOD(INT((CF216)/16777216),256)/2^3),2)*MOD(INT(MOD(INT((CB216)/16777216),256)/2^3),2)*8+MOD(INT(MOD(INT((CF216)/16777216),256)/2^4),2)*MOD(INT(MOD(INT((CB216)/16777216),256)/2^4),2)*16+MOD(INT(MOD(INT((CF216)/16777216),256)/2^5),2)*MOD(INT(MOD(INT((CB216)/16777216),256)/2^5),2)*32+MOD(INT(MOD(INT((CF216)/16777216),256)/2^6),2)*MOD(INT(MOD(INT((CB216)/16777216),256)/2^6),2)*64+MOD(INT(MOD(INT((CF216)/16777216),256)/2^7),2)*MOD(INT(MOD(INT((CB216)/16777216),256)/2^7),2)*128)*16777216)</f>
        <v>0</v>
      </c>
      <c r="CI216" s="59">
        <f t="shared" ref="CI216:CI247" si="229">((MOD(INT(MOD(INT((CG216)/1),256)/2^0),2)*MOD(INT(MOD(INT((CC216)/1),256)/2^0),2)*1+MOD(INT(MOD(INT((CG216)/1),256)/2^1),2)*MOD(INT(MOD(INT((CC216)/1),256)/2^1),2)*2+MOD(INT(MOD(INT((CG216)/1),256)/2^2),2)*MOD(INT(MOD(INT((CC216)/1),256)/2^2),2)*4+MOD(INT(MOD(INT((CG216)/1),256)/2^3),2)*MOD(INT(MOD(INT((CC216)/1),256)/2^3),2)*8+MOD(INT(MOD(INT((CG216)/1),256)/2^4),2)*MOD(INT(MOD(INT((CC216)/1),256)/2^4),2)*16+MOD(INT(MOD(INT((CG216)/1),256)/2^5),2)*MOD(INT(MOD(INT((CC216)/1),256)/2^5),2)*32+MOD(INT(MOD(INT((CG216)/1),256)/2^6),2)*MOD(INT(MOD(INT((CC216)/1),256)/2^6),2)*64+MOD(INT(MOD(INT((CG216)/1),256)/2^7),2)*MOD(INT(MOD(INT((CC216)/1),256)/2^7),2)*128)*1+(MOD(INT(MOD(INT((CG216)/256),256)/2^0),2)*MOD(INT(MOD(INT((CC216)/256),256)/2^0),2)*1+MOD(INT(MOD(INT((CG216)/256),256)/2^1),2)*MOD(INT(MOD(INT((CC216)/256),256)/2^1),2)*2+MOD(INT(MOD(INT((CG216)/256),256)/2^2),2)*MOD(INT(MOD(INT((CC216)/256),256)/2^2),2)*4+MOD(INT(MOD(INT((CG216)/256),256)/2^3),2)*MOD(INT(MOD(INT((CC216)/256),256)/2^3),2)*8+MOD(INT(MOD(INT((CG216)/256),256)/2^4),2)*MOD(INT(MOD(INT((CC216)/256),256)/2^4),2)*16+MOD(INT(MOD(INT((CG216)/256),256)/2^5),2)*MOD(INT(MOD(INT((CC216)/256),256)/2^5),2)*32+MOD(INT(MOD(INT((CG216)/256),256)/2^6),2)*MOD(INT(MOD(INT((CC216)/256),256)/2^6),2)*64+MOD(INT(MOD(INT((CG216)/256),256)/2^7),2)*MOD(INT(MOD(INT((CC216)/256),256)/2^7),2)*128)*256+(MOD(INT(MOD(INT((CG216)/65536),256)/2^0),2)*MOD(INT(MOD(INT((CC216)/65536),256)/2^0),2)*1+MOD(INT(MOD(INT((CG216)/65536),256)/2^1),2)*MOD(INT(MOD(INT((CC216)/65536),256)/2^1),2)*2+MOD(INT(MOD(INT((CG216)/65536),256)/2^2),2)*MOD(INT(MOD(INT((CC216)/65536),256)/2^2),2)*4+MOD(INT(MOD(INT((CG216)/65536),256)/2^3),2)*MOD(INT(MOD(INT((CC216)/65536),256)/2^3),2)*8+MOD(INT(MOD(INT((CG216)/65536),256)/2^4),2)*MOD(INT(MOD(INT((CC216)/65536),256)/2^4),2)*16+MOD(INT(MOD(INT((CG216)/65536),256)/2^5),2)*MOD(INT(MOD(INT((CC216)/65536),256)/2^5),2)*32+MOD(INT(MOD(INT((CG216)/65536),256)/2^6),2)*MOD(INT(MOD(INT((CC216)/65536),256)/2^6),2)*64+MOD(INT(MOD(INT((CG216)/65536),256)/2^7),2)*MOD(INT(MOD(INT((CC216)/65536),256)/2^7),2)*128)*65536+(MOD(INT(MOD(INT((CG216)/16777216),256)/2^0),2)*MOD(INT(MOD(INT((CC216)/16777216),256)/2^0),2)*1+MOD(INT(MOD(INT((CG216)/16777216),256)/2^1),2)*MOD(INT(MOD(INT((CC216)/16777216),256)/2^1),2)*2+MOD(INT(MOD(INT((CG216)/16777216),256)/2^2),2)*MOD(INT(MOD(INT((CC216)/16777216),256)/2^2),2)*4+MOD(INT(MOD(INT((CG216)/16777216),256)/2^3),2)*MOD(INT(MOD(INT((CC216)/16777216),256)/2^3),2)*8+MOD(INT(MOD(INT((CG216)/16777216),256)/2^4),2)*MOD(INT(MOD(INT((CC216)/16777216),256)/2^4),2)*16+MOD(INT(MOD(INT((CG216)/16777216),256)/2^5),2)*MOD(INT(MOD(INT((CC216)/16777216),256)/2^5),2)*32+MOD(INT(MOD(INT((CG216)/16777216),256)/2^6),2)*MOD(INT(MOD(INT((CC216)/16777216),256)/2^6),2)*64+MOD(INT(MOD(INT((CG216)/16777216),256)/2^7),2)*MOD(INT(MOD(INT((CC216)/16777216),256)/2^7),2)*128)*16777216)</f>
        <v>0</v>
      </c>
      <c r="CJ216" s="59">
        <f t="shared" ref="CJ216:CJ247" si="230">MOD(CF216+CB216-2*CH216,4294967296)</f>
        <v>0</v>
      </c>
      <c r="CK216" s="59">
        <f t="shared" ref="CK216:CK247" si="231">MOD(CG216+CC216-2*CI216,4294967296)</f>
        <v>0</v>
      </c>
    </row>
    <row r="217" spans="60:89" ht="12.75" customHeight="1" x14ac:dyDescent="0.25">
      <c r="BH217" s="58">
        <f t="shared" si="202"/>
        <v>327680</v>
      </c>
      <c r="BI217" s="58">
        <f t="shared" si="203"/>
        <v>320</v>
      </c>
      <c r="BJ217" s="59">
        <f t="shared" si="204"/>
        <v>0</v>
      </c>
      <c r="BK217" s="59">
        <f t="shared" si="205"/>
        <v>0</v>
      </c>
      <c r="BL217" s="59">
        <f t="shared" si="206"/>
        <v>0</v>
      </c>
      <c r="BM217" s="59">
        <f t="shared" si="207"/>
        <v>0</v>
      </c>
      <c r="BN217" s="59">
        <f t="shared" si="208"/>
        <v>0</v>
      </c>
      <c r="BO217" s="59">
        <f t="shared" si="209"/>
        <v>0</v>
      </c>
      <c r="BP217" s="59">
        <f t="shared" si="210"/>
        <v>0</v>
      </c>
      <c r="BQ217" s="59">
        <f t="shared" si="211"/>
        <v>0</v>
      </c>
      <c r="BR217" s="59">
        <f t="shared" si="212"/>
        <v>0</v>
      </c>
      <c r="BS217" s="59">
        <f t="shared" si="213"/>
        <v>0</v>
      </c>
      <c r="BT217" s="59">
        <f t="shared" si="214"/>
        <v>0</v>
      </c>
      <c r="BU217" s="59">
        <f t="shared" si="215"/>
        <v>0</v>
      </c>
      <c r="BV217" s="59">
        <f t="shared" si="216"/>
        <v>0</v>
      </c>
      <c r="BW217" s="59">
        <f t="shared" si="217"/>
        <v>0</v>
      </c>
      <c r="BX217" s="59">
        <f t="shared" si="218"/>
        <v>327680</v>
      </c>
      <c r="BY217" s="59">
        <f t="shared" si="219"/>
        <v>0</v>
      </c>
      <c r="BZ217" s="59">
        <f t="shared" si="220"/>
        <v>0</v>
      </c>
      <c r="CA217" s="59">
        <f t="shared" si="221"/>
        <v>320</v>
      </c>
      <c r="CB217" s="59">
        <f t="shared" si="222"/>
        <v>0</v>
      </c>
      <c r="CC217" s="59">
        <f t="shared" si="223"/>
        <v>0</v>
      </c>
      <c r="CD217" s="59">
        <f t="shared" si="224"/>
        <v>0</v>
      </c>
      <c r="CE217" s="59">
        <f t="shared" si="225"/>
        <v>0</v>
      </c>
      <c r="CF217" s="59">
        <f t="shared" si="226"/>
        <v>327680</v>
      </c>
      <c r="CG217" s="59">
        <f t="shared" si="227"/>
        <v>320</v>
      </c>
      <c r="CH217" s="59">
        <f t="shared" si="228"/>
        <v>0</v>
      </c>
      <c r="CI217" s="59">
        <f t="shared" si="229"/>
        <v>0</v>
      </c>
      <c r="CJ217" s="59">
        <f t="shared" si="230"/>
        <v>327680</v>
      </c>
      <c r="CK217" s="59">
        <f t="shared" si="231"/>
        <v>320</v>
      </c>
    </row>
    <row r="218" spans="60:89" ht="12.75" customHeight="1" x14ac:dyDescent="0.25">
      <c r="BH218" s="58">
        <f t="shared" si="202"/>
        <v>1116404702</v>
      </c>
      <c r="BI218" s="58">
        <f t="shared" si="203"/>
        <v>1613991411</v>
      </c>
      <c r="BJ218" s="59">
        <f t="shared" si="204"/>
        <v>0</v>
      </c>
      <c r="BK218" s="59">
        <f t="shared" si="205"/>
        <v>0</v>
      </c>
      <c r="BL218" s="59">
        <f t="shared" si="206"/>
        <v>0</v>
      </c>
      <c r="BM218" s="59">
        <f t="shared" si="207"/>
        <v>0</v>
      </c>
      <c r="BN218" s="59">
        <f t="shared" si="208"/>
        <v>0</v>
      </c>
      <c r="BO218" s="59">
        <f t="shared" si="209"/>
        <v>0</v>
      </c>
      <c r="BP218" s="59">
        <f t="shared" si="210"/>
        <v>0</v>
      </c>
      <c r="BQ218" s="59">
        <f t="shared" si="211"/>
        <v>0</v>
      </c>
      <c r="BR218" s="59">
        <f t="shared" si="212"/>
        <v>0</v>
      </c>
      <c r="BS218" s="59">
        <f t="shared" si="213"/>
        <v>0</v>
      </c>
      <c r="BT218" s="59">
        <f t="shared" si="214"/>
        <v>0</v>
      </c>
      <c r="BU218" s="59">
        <f t="shared" si="215"/>
        <v>0</v>
      </c>
      <c r="BV218" s="59">
        <f t="shared" si="216"/>
        <v>0</v>
      </c>
      <c r="BW218" s="59">
        <f t="shared" si="217"/>
        <v>0</v>
      </c>
      <c r="BX218" s="59">
        <f t="shared" si="218"/>
        <v>3340</v>
      </c>
      <c r="BY218" s="59">
        <f t="shared" si="219"/>
        <v>2911735280</v>
      </c>
      <c r="BZ218" s="59">
        <f t="shared" si="220"/>
        <v>1126916963</v>
      </c>
      <c r="CA218" s="59">
        <f t="shared" si="221"/>
        <v>2080374787</v>
      </c>
      <c r="CB218" s="59">
        <f t="shared" si="222"/>
        <v>27366833</v>
      </c>
      <c r="CC218" s="59">
        <f t="shared" si="223"/>
        <v>2982019072</v>
      </c>
      <c r="CD218" s="59">
        <f t="shared" si="224"/>
        <v>256</v>
      </c>
      <c r="CE218" s="59">
        <f t="shared" si="225"/>
        <v>738197504</v>
      </c>
      <c r="CF218" s="59">
        <f t="shared" si="226"/>
        <v>1126919791</v>
      </c>
      <c r="CG218" s="59">
        <f t="shared" si="227"/>
        <v>3515715059</v>
      </c>
      <c r="CH218" s="59">
        <f t="shared" si="228"/>
        <v>18940961</v>
      </c>
      <c r="CI218" s="59">
        <f t="shared" si="229"/>
        <v>2441871360</v>
      </c>
      <c r="CJ218" s="59">
        <f t="shared" si="230"/>
        <v>1116404702</v>
      </c>
      <c r="CK218" s="59">
        <f t="shared" si="231"/>
        <v>1613991411</v>
      </c>
    </row>
    <row r="219" spans="60:89" ht="12.75" customHeight="1" x14ac:dyDescent="0.25">
      <c r="BH219" s="58">
        <f t="shared" si="202"/>
        <v>5120</v>
      </c>
      <c r="BI219" s="58">
        <f t="shared" si="203"/>
        <v>2684357125</v>
      </c>
      <c r="BJ219" s="59">
        <f t="shared" si="204"/>
        <v>0</v>
      </c>
      <c r="BK219" s="59">
        <f t="shared" si="205"/>
        <v>0</v>
      </c>
      <c r="BL219" s="59">
        <f t="shared" si="206"/>
        <v>0</v>
      </c>
      <c r="BM219" s="59">
        <f t="shared" si="207"/>
        <v>0</v>
      </c>
      <c r="BN219" s="59">
        <f t="shared" si="208"/>
        <v>0</v>
      </c>
      <c r="BO219" s="59">
        <f t="shared" si="209"/>
        <v>0</v>
      </c>
      <c r="BP219" s="59">
        <f t="shared" si="210"/>
        <v>0</v>
      </c>
      <c r="BQ219" s="59">
        <f t="shared" si="211"/>
        <v>0</v>
      </c>
      <c r="BR219" s="59">
        <f t="shared" si="212"/>
        <v>0</v>
      </c>
      <c r="BS219" s="59">
        <f t="shared" si="213"/>
        <v>0</v>
      </c>
      <c r="BT219" s="59">
        <f t="shared" si="214"/>
        <v>0</v>
      </c>
      <c r="BU219" s="59">
        <f t="shared" si="215"/>
        <v>0</v>
      </c>
      <c r="BV219" s="59">
        <f t="shared" si="216"/>
        <v>0</v>
      </c>
      <c r="BW219" s="59">
        <f t="shared" si="217"/>
        <v>0</v>
      </c>
      <c r="BX219" s="59">
        <f t="shared" si="218"/>
        <v>2621440</v>
      </c>
      <c r="BY219" s="59">
        <f t="shared" si="219"/>
        <v>2684354560</v>
      </c>
      <c r="BZ219" s="59">
        <f t="shared" si="220"/>
        <v>2621440</v>
      </c>
      <c r="CA219" s="59">
        <f t="shared" si="221"/>
        <v>2560</v>
      </c>
      <c r="CB219" s="59">
        <f t="shared" si="222"/>
        <v>5120</v>
      </c>
      <c r="CC219" s="59">
        <f t="shared" si="223"/>
        <v>5</v>
      </c>
      <c r="CD219" s="59">
        <f t="shared" si="224"/>
        <v>2621440</v>
      </c>
      <c r="CE219" s="59">
        <f t="shared" si="225"/>
        <v>0</v>
      </c>
      <c r="CF219" s="59">
        <f t="shared" si="226"/>
        <v>0</v>
      </c>
      <c r="CG219" s="59">
        <f t="shared" si="227"/>
        <v>2684357120</v>
      </c>
      <c r="CH219" s="59">
        <f t="shared" si="228"/>
        <v>0</v>
      </c>
      <c r="CI219" s="59">
        <f t="shared" si="229"/>
        <v>0</v>
      </c>
      <c r="CJ219" s="59">
        <f t="shared" si="230"/>
        <v>5120</v>
      </c>
      <c r="CK219" s="59">
        <f t="shared" si="231"/>
        <v>2684357125</v>
      </c>
    </row>
    <row r="220" spans="60:89" ht="12.75" customHeight="1" x14ac:dyDescent="0.25">
      <c r="BH220" s="58">
        <f t="shared" si="202"/>
        <v>1692638541</v>
      </c>
      <c r="BI220" s="58">
        <f t="shared" si="203"/>
        <v>661089707</v>
      </c>
      <c r="BJ220" s="59">
        <f t="shared" si="204"/>
        <v>0</v>
      </c>
      <c r="BK220" s="59">
        <f t="shared" si="205"/>
        <v>0</v>
      </c>
      <c r="BL220" s="59">
        <f t="shared" si="206"/>
        <v>0</v>
      </c>
      <c r="BM220" s="59">
        <f t="shared" si="207"/>
        <v>0</v>
      </c>
      <c r="BN220" s="59">
        <f t="shared" si="208"/>
        <v>0</v>
      </c>
      <c r="BO220" s="59">
        <f t="shared" si="209"/>
        <v>0</v>
      </c>
      <c r="BP220" s="59">
        <f t="shared" si="210"/>
        <v>0</v>
      </c>
      <c r="BQ220" s="59">
        <f t="shared" si="211"/>
        <v>0</v>
      </c>
      <c r="BR220" s="59">
        <f t="shared" si="212"/>
        <v>0</v>
      </c>
      <c r="BS220" s="59">
        <f t="shared" si="213"/>
        <v>0</v>
      </c>
      <c r="BT220" s="59">
        <f t="shared" si="214"/>
        <v>0</v>
      </c>
      <c r="BU220" s="59">
        <f t="shared" si="215"/>
        <v>0</v>
      </c>
      <c r="BV220" s="59">
        <f t="shared" si="216"/>
        <v>0</v>
      </c>
      <c r="BW220" s="59">
        <f t="shared" si="217"/>
        <v>0</v>
      </c>
      <c r="BX220" s="59">
        <f t="shared" si="218"/>
        <v>1908303953</v>
      </c>
      <c r="BY220" s="59">
        <f t="shared" si="219"/>
        <v>1601948678</v>
      </c>
      <c r="BZ220" s="59">
        <f t="shared" si="220"/>
        <v>341303027</v>
      </c>
      <c r="CA220" s="59">
        <f t="shared" si="221"/>
        <v>27029402</v>
      </c>
      <c r="CB220" s="59">
        <f t="shared" si="222"/>
        <v>17443823</v>
      </c>
      <c r="CC220" s="59">
        <f t="shared" si="223"/>
        <v>2038484535</v>
      </c>
      <c r="CD220" s="59">
        <f t="shared" si="224"/>
        <v>269895761</v>
      </c>
      <c r="CE220" s="59">
        <f t="shared" si="225"/>
        <v>18369538</v>
      </c>
      <c r="CF220" s="59">
        <f t="shared" si="226"/>
        <v>1709815458</v>
      </c>
      <c r="CG220" s="59">
        <f t="shared" si="227"/>
        <v>1592239004</v>
      </c>
      <c r="CH220" s="59">
        <f t="shared" si="228"/>
        <v>17310370</v>
      </c>
      <c r="CI220" s="59">
        <f t="shared" si="229"/>
        <v>1484816916</v>
      </c>
      <c r="CJ220" s="59">
        <f t="shared" si="230"/>
        <v>1692638541</v>
      </c>
      <c r="CK220" s="59">
        <f t="shared" si="231"/>
        <v>661089707</v>
      </c>
    </row>
    <row r="221" spans="60:89" ht="12.75" customHeight="1" x14ac:dyDescent="0.25">
      <c r="BH221" s="58">
        <f t="shared" si="202"/>
        <v>20971605</v>
      </c>
      <c r="BI221" s="58">
        <f t="shared" si="203"/>
        <v>17408</v>
      </c>
      <c r="BJ221" s="59">
        <f t="shared" si="204"/>
        <v>0</v>
      </c>
      <c r="BK221" s="59">
        <f t="shared" si="205"/>
        <v>0</v>
      </c>
      <c r="BL221" s="59">
        <f t="shared" si="206"/>
        <v>0</v>
      </c>
      <c r="BM221" s="59">
        <f t="shared" si="207"/>
        <v>0</v>
      </c>
      <c r="BN221" s="59">
        <f t="shared" si="208"/>
        <v>0</v>
      </c>
      <c r="BO221" s="59">
        <f t="shared" si="209"/>
        <v>0</v>
      </c>
      <c r="BP221" s="59">
        <f t="shared" si="210"/>
        <v>0</v>
      </c>
      <c r="BQ221" s="59">
        <f t="shared" si="211"/>
        <v>0</v>
      </c>
      <c r="BR221" s="59">
        <f t="shared" si="212"/>
        <v>0</v>
      </c>
      <c r="BS221" s="59">
        <f t="shared" si="213"/>
        <v>0</v>
      </c>
      <c r="BT221" s="59">
        <f t="shared" si="214"/>
        <v>0</v>
      </c>
      <c r="BU221" s="59">
        <f t="shared" si="215"/>
        <v>0</v>
      </c>
      <c r="BV221" s="59">
        <f t="shared" si="216"/>
        <v>0</v>
      </c>
      <c r="BW221" s="59">
        <f t="shared" si="217"/>
        <v>0</v>
      </c>
      <c r="BX221" s="59">
        <f t="shared" si="218"/>
        <v>21012480</v>
      </c>
      <c r="BY221" s="59">
        <f t="shared" si="219"/>
        <v>41948160</v>
      </c>
      <c r="BZ221" s="59">
        <f t="shared" si="220"/>
        <v>40965</v>
      </c>
      <c r="CA221" s="59">
        <f t="shared" si="221"/>
        <v>20520</v>
      </c>
      <c r="CB221" s="59">
        <f t="shared" si="222"/>
        <v>80</v>
      </c>
      <c r="CC221" s="59">
        <f t="shared" si="223"/>
        <v>41943080</v>
      </c>
      <c r="CD221" s="59">
        <f t="shared" si="224"/>
        <v>40960</v>
      </c>
      <c r="CE221" s="59">
        <f t="shared" si="225"/>
        <v>4096</v>
      </c>
      <c r="CF221" s="59">
        <f t="shared" si="226"/>
        <v>20971525</v>
      </c>
      <c r="CG221" s="59">
        <f t="shared" si="227"/>
        <v>41960488</v>
      </c>
      <c r="CH221" s="59">
        <f t="shared" si="228"/>
        <v>0</v>
      </c>
      <c r="CI221" s="59">
        <f t="shared" si="229"/>
        <v>41943080</v>
      </c>
      <c r="CJ221" s="59">
        <f t="shared" si="230"/>
        <v>20971605</v>
      </c>
      <c r="CK221" s="59">
        <f t="shared" si="231"/>
        <v>17408</v>
      </c>
    </row>
    <row r="222" spans="60:89" ht="12.75" customHeight="1" x14ac:dyDescent="0.25">
      <c r="BH222" s="58">
        <f t="shared" si="202"/>
        <v>3409578112</v>
      </c>
      <c r="BI222" s="58">
        <f t="shared" si="203"/>
        <v>2081379369</v>
      </c>
      <c r="BJ222" s="59">
        <f t="shared" si="204"/>
        <v>0</v>
      </c>
      <c r="BK222" s="59">
        <f t="shared" si="205"/>
        <v>0</v>
      </c>
      <c r="BL222" s="59">
        <f t="shared" si="206"/>
        <v>0</v>
      </c>
      <c r="BM222" s="59">
        <f t="shared" si="207"/>
        <v>0</v>
      </c>
      <c r="BN222" s="59">
        <f t="shared" si="208"/>
        <v>0</v>
      </c>
      <c r="BO222" s="59">
        <f t="shared" si="209"/>
        <v>0</v>
      </c>
      <c r="BP222" s="59">
        <f t="shared" si="210"/>
        <v>0</v>
      </c>
      <c r="BQ222" s="59">
        <f t="shared" si="211"/>
        <v>0</v>
      </c>
      <c r="BR222" s="59">
        <f t="shared" si="212"/>
        <v>0</v>
      </c>
      <c r="BS222" s="59">
        <f t="shared" si="213"/>
        <v>0</v>
      </c>
      <c r="BT222" s="59">
        <f t="shared" si="214"/>
        <v>0</v>
      </c>
      <c r="BU222" s="59">
        <f t="shared" si="215"/>
        <v>0</v>
      </c>
      <c r="BV222" s="59">
        <f t="shared" si="216"/>
        <v>0</v>
      </c>
      <c r="BW222" s="59">
        <f t="shared" si="217"/>
        <v>0</v>
      </c>
      <c r="BX222" s="59">
        <f t="shared" si="218"/>
        <v>3988090012</v>
      </c>
      <c r="BY222" s="59">
        <f t="shared" si="219"/>
        <v>1940497644</v>
      </c>
      <c r="BZ222" s="59">
        <f t="shared" si="220"/>
        <v>656206441</v>
      </c>
      <c r="CA222" s="59">
        <f t="shared" si="221"/>
        <v>993750363</v>
      </c>
      <c r="CB222" s="59">
        <f t="shared" si="222"/>
        <v>26447477</v>
      </c>
      <c r="CC222" s="59">
        <f t="shared" si="223"/>
        <v>882744758</v>
      </c>
      <c r="CD222" s="59">
        <f t="shared" si="224"/>
        <v>622094344</v>
      </c>
      <c r="CE222" s="59">
        <f t="shared" si="225"/>
        <v>858334280</v>
      </c>
      <c r="CF222" s="59">
        <f t="shared" si="226"/>
        <v>3400107765</v>
      </c>
      <c r="CG222" s="59">
        <f t="shared" si="227"/>
        <v>1217579447</v>
      </c>
      <c r="CH222" s="59">
        <f t="shared" si="228"/>
        <v>8488565</v>
      </c>
      <c r="CI222" s="59">
        <f t="shared" si="229"/>
        <v>9472438</v>
      </c>
      <c r="CJ222" s="59">
        <f t="shared" si="230"/>
        <v>3409578112</v>
      </c>
      <c r="CK222" s="59">
        <f t="shared" si="231"/>
        <v>2081379329</v>
      </c>
    </row>
    <row r="223" spans="60:89" ht="12.75" customHeight="1" x14ac:dyDescent="0.25">
      <c r="BH223" s="58">
        <f t="shared" si="202"/>
        <v>1793748717</v>
      </c>
      <c r="BI223" s="58">
        <f t="shared" si="203"/>
        <v>3280503056</v>
      </c>
      <c r="BJ223" s="59">
        <f t="shared" si="204"/>
        <v>0</v>
      </c>
      <c r="BK223" s="59">
        <f t="shared" si="205"/>
        <v>0</v>
      </c>
      <c r="BL223" s="59">
        <f t="shared" si="206"/>
        <v>0</v>
      </c>
      <c r="BM223" s="59">
        <f t="shared" si="207"/>
        <v>0</v>
      </c>
      <c r="BN223" s="59">
        <f t="shared" si="208"/>
        <v>0</v>
      </c>
      <c r="BO223" s="59">
        <f t="shared" si="209"/>
        <v>0</v>
      </c>
      <c r="BP223" s="59">
        <f t="shared" si="210"/>
        <v>0</v>
      </c>
      <c r="BQ223" s="59">
        <f t="shared" si="211"/>
        <v>0</v>
      </c>
      <c r="BR223" s="59">
        <f t="shared" si="212"/>
        <v>0</v>
      </c>
      <c r="BS223" s="59">
        <f t="shared" si="213"/>
        <v>0</v>
      </c>
      <c r="BT223" s="59">
        <f t="shared" si="214"/>
        <v>0</v>
      </c>
      <c r="BU223" s="59">
        <f t="shared" si="215"/>
        <v>0</v>
      </c>
      <c r="BV223" s="59">
        <f t="shared" si="216"/>
        <v>0</v>
      </c>
      <c r="BW223" s="59">
        <f t="shared" si="217"/>
        <v>0</v>
      </c>
      <c r="BX223" s="59">
        <f t="shared" si="218"/>
        <v>142606376</v>
      </c>
      <c r="BY223" s="59">
        <f t="shared" si="219"/>
        <v>696320</v>
      </c>
      <c r="BZ223" s="59">
        <f t="shared" si="220"/>
        <v>167772840</v>
      </c>
      <c r="CA223" s="59">
        <f t="shared" si="221"/>
        <v>139264</v>
      </c>
      <c r="CB223" s="59">
        <f t="shared" si="222"/>
        <v>327681</v>
      </c>
      <c r="CC223" s="59">
        <f t="shared" si="223"/>
        <v>1409286416</v>
      </c>
      <c r="CD223" s="59">
        <f t="shared" si="224"/>
        <v>134217768</v>
      </c>
      <c r="CE223" s="59">
        <f t="shared" si="225"/>
        <v>139264</v>
      </c>
      <c r="CF223" s="59">
        <f t="shared" si="226"/>
        <v>41943680</v>
      </c>
      <c r="CG223" s="59">
        <f t="shared" si="227"/>
        <v>557056</v>
      </c>
      <c r="CH223" s="59">
        <f t="shared" si="228"/>
        <v>0</v>
      </c>
      <c r="CI223" s="59">
        <f t="shared" si="229"/>
        <v>0</v>
      </c>
      <c r="CJ223" s="59">
        <f t="shared" si="230"/>
        <v>42271361</v>
      </c>
      <c r="CK223" s="59">
        <f t="shared" si="231"/>
        <v>1409843472</v>
      </c>
    </row>
    <row r="224" spans="60:89" ht="12.75" customHeight="1" x14ac:dyDescent="0.25">
      <c r="BH224" s="58">
        <f t="shared" si="202"/>
        <v>2961085766</v>
      </c>
      <c r="BI224" s="58">
        <f t="shared" si="203"/>
        <v>2694485215</v>
      </c>
      <c r="BJ224" s="59">
        <f t="shared" si="204"/>
        <v>0</v>
      </c>
      <c r="BK224" s="59">
        <f t="shared" si="205"/>
        <v>0</v>
      </c>
      <c r="BL224" s="59">
        <f t="shared" si="206"/>
        <v>0</v>
      </c>
      <c r="BM224" s="59">
        <f t="shared" si="207"/>
        <v>0</v>
      </c>
      <c r="BN224" s="59">
        <f t="shared" si="208"/>
        <v>0</v>
      </c>
      <c r="BO224" s="59">
        <f t="shared" si="209"/>
        <v>0</v>
      </c>
      <c r="BP224" s="59">
        <f t="shared" si="210"/>
        <v>0</v>
      </c>
      <c r="BQ224" s="59">
        <f t="shared" si="211"/>
        <v>0</v>
      </c>
      <c r="BR224" s="59">
        <f t="shared" si="212"/>
        <v>0</v>
      </c>
      <c r="BS224" s="59">
        <f t="shared" si="213"/>
        <v>0</v>
      </c>
      <c r="BT224" s="59">
        <f t="shared" si="214"/>
        <v>0</v>
      </c>
      <c r="BU224" s="59">
        <f t="shared" si="215"/>
        <v>0</v>
      </c>
      <c r="BV224" s="59">
        <f t="shared" si="216"/>
        <v>0</v>
      </c>
      <c r="BW224" s="59">
        <f t="shared" si="217"/>
        <v>0</v>
      </c>
      <c r="BX224" s="59">
        <f t="shared" si="218"/>
        <v>3934599527</v>
      </c>
      <c r="BY224" s="59">
        <f t="shared" si="219"/>
        <v>1091571585</v>
      </c>
      <c r="BZ224" s="59">
        <f t="shared" si="220"/>
        <v>1506821123</v>
      </c>
      <c r="CA224" s="59">
        <f t="shared" si="221"/>
        <v>3766133070</v>
      </c>
      <c r="CB224" s="59">
        <f t="shared" si="222"/>
        <v>53274658</v>
      </c>
      <c r="CC224" s="59">
        <f t="shared" si="223"/>
        <v>32521552</v>
      </c>
      <c r="CD224" s="59">
        <f t="shared" si="224"/>
        <v>1216348163</v>
      </c>
      <c r="CE224" s="59">
        <f t="shared" si="225"/>
        <v>1074790656</v>
      </c>
      <c r="CF224" s="59">
        <f t="shared" si="226"/>
        <v>3008724324</v>
      </c>
      <c r="CG224" s="59">
        <f t="shared" si="227"/>
        <v>2708123343</v>
      </c>
      <c r="CH224" s="59">
        <f t="shared" si="228"/>
        <v>50620448</v>
      </c>
      <c r="CI224" s="59">
        <f t="shared" si="229"/>
        <v>23080000</v>
      </c>
      <c r="CJ224" s="59">
        <f t="shared" si="230"/>
        <v>2960758086</v>
      </c>
      <c r="CK224" s="59">
        <f t="shared" si="231"/>
        <v>2694484895</v>
      </c>
    </row>
    <row r="225" spans="60:89" ht="12.75" customHeight="1" x14ac:dyDescent="0.25">
      <c r="BH225" s="58">
        <f t="shared" si="202"/>
        <v>2305150823</v>
      </c>
      <c r="BI225" s="58">
        <f t="shared" si="203"/>
        <v>1187717353</v>
      </c>
      <c r="BJ225" s="59">
        <f t="shared" si="204"/>
        <v>0</v>
      </c>
      <c r="BK225" s="59">
        <f t="shared" si="205"/>
        <v>0</v>
      </c>
      <c r="BL225" s="59">
        <f t="shared" si="206"/>
        <v>0</v>
      </c>
      <c r="BM225" s="59">
        <f t="shared" si="207"/>
        <v>0</v>
      </c>
      <c r="BN225" s="59">
        <f t="shared" si="208"/>
        <v>0</v>
      </c>
      <c r="BO225" s="59">
        <f t="shared" si="209"/>
        <v>0</v>
      </c>
      <c r="BP225" s="59">
        <f t="shared" si="210"/>
        <v>0</v>
      </c>
      <c r="BQ225" s="59">
        <f t="shared" si="211"/>
        <v>0</v>
      </c>
      <c r="BR225" s="59">
        <f t="shared" si="212"/>
        <v>0</v>
      </c>
      <c r="BS225" s="59">
        <f t="shared" si="213"/>
        <v>0</v>
      </c>
      <c r="BT225" s="59">
        <f t="shared" si="214"/>
        <v>0</v>
      </c>
      <c r="BU225" s="59">
        <f t="shared" si="215"/>
        <v>0</v>
      </c>
      <c r="BV225" s="59">
        <f t="shared" si="216"/>
        <v>0</v>
      </c>
      <c r="BW225" s="59">
        <f t="shared" si="217"/>
        <v>0</v>
      </c>
      <c r="BX225" s="59">
        <f t="shared" si="218"/>
        <v>270667101</v>
      </c>
      <c r="BY225" s="59">
        <f t="shared" si="219"/>
        <v>1306376305</v>
      </c>
      <c r="BZ225" s="59">
        <f t="shared" si="220"/>
        <v>1465087854</v>
      </c>
      <c r="CA225" s="59">
        <f t="shared" si="221"/>
        <v>474220675</v>
      </c>
      <c r="CB225" s="59">
        <f t="shared" si="222"/>
        <v>28027323</v>
      </c>
      <c r="CC225" s="59">
        <f t="shared" si="223"/>
        <v>3071156740</v>
      </c>
      <c r="CD225" s="59">
        <f t="shared" si="224"/>
        <v>268567884</v>
      </c>
      <c r="CE225" s="59">
        <f t="shared" si="225"/>
        <v>205785089</v>
      </c>
      <c r="CF225" s="59">
        <f t="shared" si="226"/>
        <v>1198619187</v>
      </c>
      <c r="CG225" s="59">
        <f t="shared" si="227"/>
        <v>1369026802</v>
      </c>
      <c r="CH225" s="59">
        <f t="shared" si="228"/>
        <v>18950195</v>
      </c>
      <c r="CI225" s="59">
        <f t="shared" si="229"/>
        <v>285745152</v>
      </c>
      <c r="CJ225" s="59">
        <f t="shared" si="230"/>
        <v>1188746120</v>
      </c>
      <c r="CK225" s="59">
        <f t="shared" si="231"/>
        <v>3868693238</v>
      </c>
    </row>
    <row r="226" spans="60:89" ht="12.75" customHeight="1" x14ac:dyDescent="0.25">
      <c r="BH226" s="58">
        <f t="shared" si="202"/>
        <v>3551443568</v>
      </c>
      <c r="BI226" s="58">
        <f t="shared" si="203"/>
        <v>1828594370</v>
      </c>
      <c r="BJ226" s="59">
        <f t="shared" si="204"/>
        <v>0</v>
      </c>
      <c r="BK226" s="59">
        <f t="shared" si="205"/>
        <v>0</v>
      </c>
      <c r="BL226" s="59">
        <f t="shared" si="206"/>
        <v>0</v>
      </c>
      <c r="BM226" s="59">
        <f t="shared" si="207"/>
        <v>0</v>
      </c>
      <c r="BN226" s="59">
        <f t="shared" si="208"/>
        <v>0</v>
      </c>
      <c r="BO226" s="59">
        <f t="shared" si="209"/>
        <v>0</v>
      </c>
      <c r="BP226" s="59">
        <f t="shared" si="210"/>
        <v>0</v>
      </c>
      <c r="BQ226" s="59">
        <f t="shared" si="211"/>
        <v>0</v>
      </c>
      <c r="BR226" s="59">
        <f t="shared" si="212"/>
        <v>0</v>
      </c>
      <c r="BS226" s="59">
        <f t="shared" si="213"/>
        <v>0</v>
      </c>
      <c r="BT226" s="59">
        <f t="shared" si="214"/>
        <v>0</v>
      </c>
      <c r="BU226" s="59">
        <f t="shared" si="215"/>
        <v>0</v>
      </c>
      <c r="BV226" s="59">
        <f t="shared" si="216"/>
        <v>0</v>
      </c>
      <c r="BW226" s="59">
        <f t="shared" si="217"/>
        <v>0</v>
      </c>
      <c r="BX226" s="59">
        <f t="shared" si="218"/>
        <v>1385952783</v>
      </c>
      <c r="BY226" s="59">
        <f t="shared" si="219"/>
        <v>3534279699</v>
      </c>
      <c r="BZ226" s="59">
        <f t="shared" si="220"/>
        <v>2213849653</v>
      </c>
      <c r="CA226" s="59">
        <f t="shared" si="221"/>
        <v>81045245</v>
      </c>
      <c r="CB226" s="59">
        <f t="shared" si="222"/>
        <v>46266965</v>
      </c>
      <c r="CC226" s="59">
        <f t="shared" si="223"/>
        <v>444754515</v>
      </c>
      <c r="CD226" s="59">
        <f t="shared" si="224"/>
        <v>43033093</v>
      </c>
      <c r="CE226" s="59">
        <f t="shared" si="225"/>
        <v>8422417</v>
      </c>
      <c r="CF226" s="59">
        <f t="shared" si="226"/>
        <v>3513736250</v>
      </c>
      <c r="CG226" s="59">
        <f t="shared" si="227"/>
        <v>3598480110</v>
      </c>
      <c r="CH226" s="59">
        <f t="shared" si="228"/>
        <v>4282384</v>
      </c>
      <c r="CI226" s="59">
        <f t="shared" si="229"/>
        <v>302015042</v>
      </c>
      <c r="CJ226" s="59">
        <f t="shared" si="230"/>
        <v>3551438447</v>
      </c>
      <c r="CK226" s="59">
        <f t="shared" si="231"/>
        <v>3439204541</v>
      </c>
    </row>
    <row r="227" spans="60:89" ht="12.75" customHeight="1" x14ac:dyDescent="0.25">
      <c r="BH227" s="58">
        <f t="shared" si="202"/>
        <v>2449111672</v>
      </c>
      <c r="BI227" s="58">
        <f t="shared" si="203"/>
        <v>974532801</v>
      </c>
      <c r="BJ227" s="59">
        <f t="shared" si="204"/>
        <v>0</v>
      </c>
      <c r="BK227" s="59">
        <f t="shared" si="205"/>
        <v>0</v>
      </c>
      <c r="BL227" s="59">
        <f t="shared" si="206"/>
        <v>0</v>
      </c>
      <c r="BM227" s="59">
        <f t="shared" si="207"/>
        <v>0</v>
      </c>
      <c r="BN227" s="59">
        <f t="shared" si="208"/>
        <v>0</v>
      </c>
      <c r="BO227" s="59">
        <f t="shared" si="209"/>
        <v>0</v>
      </c>
      <c r="BP227" s="59">
        <f t="shared" si="210"/>
        <v>0</v>
      </c>
      <c r="BQ227" s="59">
        <f t="shared" si="211"/>
        <v>0</v>
      </c>
      <c r="BR227" s="59">
        <f t="shared" si="212"/>
        <v>0</v>
      </c>
      <c r="BS227" s="59">
        <f t="shared" si="213"/>
        <v>0</v>
      </c>
      <c r="BT227" s="59">
        <f t="shared" si="214"/>
        <v>0</v>
      </c>
      <c r="BU227" s="59">
        <f t="shared" si="215"/>
        <v>0</v>
      </c>
      <c r="BV227" s="59">
        <f t="shared" si="216"/>
        <v>0</v>
      </c>
      <c r="BW227" s="59">
        <f t="shared" si="217"/>
        <v>0</v>
      </c>
      <c r="BX227" s="59">
        <f t="shared" si="218"/>
        <v>1679634732</v>
      </c>
      <c r="BY227" s="59">
        <f t="shared" si="219"/>
        <v>3119311065</v>
      </c>
      <c r="BZ227" s="59">
        <f t="shared" si="220"/>
        <v>1261337402</v>
      </c>
      <c r="CA227" s="59">
        <f t="shared" si="221"/>
        <v>911804236</v>
      </c>
      <c r="CB227" s="59">
        <f t="shared" si="222"/>
        <v>36017981</v>
      </c>
      <c r="CC227" s="59">
        <f t="shared" si="223"/>
        <v>2635803779</v>
      </c>
      <c r="CD227" s="59">
        <f t="shared" si="224"/>
        <v>1074540840</v>
      </c>
      <c r="CE227" s="59">
        <f t="shared" si="225"/>
        <v>810025032</v>
      </c>
      <c r="CF227" s="59">
        <f t="shared" si="226"/>
        <v>791890454</v>
      </c>
      <c r="CG227" s="59">
        <f t="shared" si="227"/>
        <v>2411065237</v>
      </c>
      <c r="CH227" s="59">
        <f t="shared" si="228"/>
        <v>35717652</v>
      </c>
      <c r="CI227" s="59">
        <f t="shared" si="229"/>
        <v>2366712961</v>
      </c>
      <c r="CJ227" s="59">
        <f t="shared" si="230"/>
        <v>756473131</v>
      </c>
      <c r="CK227" s="59">
        <f t="shared" si="231"/>
        <v>313443094</v>
      </c>
    </row>
    <row r="228" spans="60:89" ht="12.75" customHeight="1" x14ac:dyDescent="0.25">
      <c r="BH228" s="58">
        <f t="shared" si="202"/>
        <v>1537422196</v>
      </c>
      <c r="BI228" s="58">
        <f t="shared" si="203"/>
        <v>1896687362</v>
      </c>
      <c r="BJ228" s="59">
        <f t="shared" si="204"/>
        <v>0</v>
      </c>
      <c r="BK228" s="59">
        <f t="shared" si="205"/>
        <v>0</v>
      </c>
      <c r="BL228" s="59">
        <f t="shared" si="206"/>
        <v>0</v>
      </c>
      <c r="BM228" s="59">
        <f t="shared" si="207"/>
        <v>0</v>
      </c>
      <c r="BN228" s="59">
        <f t="shared" si="208"/>
        <v>0</v>
      </c>
      <c r="BO228" s="59">
        <f t="shared" si="209"/>
        <v>0</v>
      </c>
      <c r="BP228" s="59">
        <f t="shared" si="210"/>
        <v>0</v>
      </c>
      <c r="BQ228" s="59">
        <f t="shared" si="211"/>
        <v>0</v>
      </c>
      <c r="BR228" s="59">
        <f t="shared" si="212"/>
        <v>0</v>
      </c>
      <c r="BS228" s="59">
        <f t="shared" si="213"/>
        <v>0</v>
      </c>
      <c r="BT228" s="59">
        <f t="shared" si="214"/>
        <v>0</v>
      </c>
      <c r="BU228" s="59">
        <f t="shared" si="215"/>
        <v>0</v>
      </c>
      <c r="BV228" s="59">
        <f t="shared" si="216"/>
        <v>0</v>
      </c>
      <c r="BW228" s="59">
        <f t="shared" si="217"/>
        <v>0</v>
      </c>
      <c r="BX228" s="59">
        <f t="shared" si="218"/>
        <v>3294124661</v>
      </c>
      <c r="BY228" s="59">
        <f t="shared" si="219"/>
        <v>3612216735</v>
      </c>
      <c r="BZ228" s="59">
        <f t="shared" si="220"/>
        <v>2641744771</v>
      </c>
      <c r="CA228" s="59">
        <f t="shared" si="221"/>
        <v>1743853078</v>
      </c>
      <c r="CB228" s="59">
        <f t="shared" si="222"/>
        <v>55491305</v>
      </c>
      <c r="CC228" s="59">
        <f t="shared" si="223"/>
        <v>3249797259</v>
      </c>
      <c r="CD228" s="59">
        <f t="shared" si="224"/>
        <v>2219856385</v>
      </c>
      <c r="CE228" s="59">
        <f t="shared" si="225"/>
        <v>1195377686</v>
      </c>
      <c r="CF228" s="59">
        <f t="shared" si="226"/>
        <v>1496156662</v>
      </c>
      <c r="CG228" s="59">
        <f t="shared" si="227"/>
        <v>2965314441</v>
      </c>
      <c r="CH228" s="59">
        <f t="shared" si="228"/>
        <v>17598688</v>
      </c>
      <c r="CI228" s="59">
        <f t="shared" si="229"/>
        <v>2159220873</v>
      </c>
      <c r="CJ228" s="59">
        <f t="shared" si="230"/>
        <v>1516450591</v>
      </c>
      <c r="CK228" s="59">
        <f t="shared" si="231"/>
        <v>1896669954</v>
      </c>
    </row>
    <row r="229" spans="60:89" ht="12.75" customHeight="1" x14ac:dyDescent="0.25">
      <c r="BH229" s="58">
        <f t="shared" si="202"/>
        <v>382079127</v>
      </c>
      <c r="BI229" s="58">
        <f t="shared" si="203"/>
        <v>4213583286</v>
      </c>
      <c r="BJ229" s="59">
        <f t="shared" si="204"/>
        <v>0</v>
      </c>
      <c r="BK229" s="59">
        <f t="shared" si="205"/>
        <v>0</v>
      </c>
      <c r="BL229" s="59">
        <f t="shared" si="206"/>
        <v>0</v>
      </c>
      <c r="BM229" s="59">
        <f t="shared" si="207"/>
        <v>0</v>
      </c>
      <c r="BN229" s="59">
        <f t="shared" si="208"/>
        <v>0</v>
      </c>
      <c r="BO229" s="59">
        <f t="shared" si="209"/>
        <v>0</v>
      </c>
      <c r="BP229" s="59">
        <f t="shared" si="210"/>
        <v>0</v>
      </c>
      <c r="BQ229" s="59">
        <f t="shared" si="211"/>
        <v>0</v>
      </c>
      <c r="BR229" s="59">
        <f t="shared" si="212"/>
        <v>0</v>
      </c>
      <c r="BS229" s="59">
        <f t="shared" si="213"/>
        <v>0</v>
      </c>
      <c r="BT229" s="59">
        <f t="shared" si="214"/>
        <v>0</v>
      </c>
      <c r="BU229" s="59">
        <f t="shared" si="215"/>
        <v>0</v>
      </c>
      <c r="BV229" s="59">
        <f t="shared" si="216"/>
        <v>0</v>
      </c>
      <c r="BW229" s="59">
        <f t="shared" si="217"/>
        <v>0</v>
      </c>
      <c r="BX229" s="59">
        <f t="shared" si="218"/>
        <v>3323474495</v>
      </c>
      <c r="BY229" s="59">
        <f t="shared" si="219"/>
        <v>1330579266</v>
      </c>
      <c r="BZ229" s="59">
        <f t="shared" si="220"/>
        <v>2413024193</v>
      </c>
      <c r="CA229" s="59">
        <f t="shared" si="221"/>
        <v>3501295116</v>
      </c>
      <c r="CB229" s="59">
        <f t="shared" si="222"/>
        <v>38267369</v>
      </c>
      <c r="CC229" s="59">
        <f t="shared" si="223"/>
        <v>3773323459</v>
      </c>
      <c r="CD229" s="59">
        <f t="shared" si="224"/>
        <v>2249200129</v>
      </c>
      <c r="CE229" s="59">
        <f t="shared" si="225"/>
        <v>1073808896</v>
      </c>
      <c r="CF229" s="59">
        <f t="shared" si="226"/>
        <v>1238098430</v>
      </c>
      <c r="CG229" s="59">
        <f t="shared" si="227"/>
        <v>2684256590</v>
      </c>
      <c r="CH229" s="59">
        <f t="shared" si="228"/>
        <v>4448744</v>
      </c>
      <c r="CI229" s="59">
        <f t="shared" si="229"/>
        <v>2162688066</v>
      </c>
      <c r="CJ229" s="59">
        <f t="shared" si="230"/>
        <v>1267468311</v>
      </c>
      <c r="CK229" s="59">
        <f t="shared" si="231"/>
        <v>2132203917</v>
      </c>
    </row>
    <row r="230" spans="60:89" ht="12.75" customHeight="1" x14ac:dyDescent="0.25">
      <c r="BH230" s="58">
        <f t="shared" si="202"/>
        <v>193055496</v>
      </c>
      <c r="BI230" s="58">
        <f t="shared" si="203"/>
        <v>55313363</v>
      </c>
      <c r="BJ230" s="59">
        <f t="shared" si="204"/>
        <v>0</v>
      </c>
      <c r="BK230" s="59">
        <f t="shared" si="205"/>
        <v>20</v>
      </c>
      <c r="BL230" s="59">
        <f t="shared" si="206"/>
        <v>671088640</v>
      </c>
      <c r="BM230" s="59">
        <f t="shared" si="207"/>
        <v>0</v>
      </c>
      <c r="BN230" s="59">
        <f t="shared" si="208"/>
        <v>0</v>
      </c>
      <c r="BO230" s="59">
        <f t="shared" si="209"/>
        <v>0</v>
      </c>
      <c r="BP230" s="59">
        <f t="shared" si="210"/>
        <v>0</v>
      </c>
      <c r="BQ230" s="59">
        <f t="shared" si="211"/>
        <v>0</v>
      </c>
      <c r="BR230" s="59">
        <f t="shared" si="212"/>
        <v>671088640</v>
      </c>
      <c r="BS230" s="59">
        <f t="shared" si="213"/>
        <v>20</v>
      </c>
      <c r="BT230" s="59">
        <f t="shared" si="214"/>
        <v>0</v>
      </c>
      <c r="BU230" s="59">
        <f t="shared" si="215"/>
        <v>0</v>
      </c>
      <c r="BV230" s="59">
        <f t="shared" si="216"/>
        <v>671088640</v>
      </c>
      <c r="BW230" s="59">
        <f t="shared" si="217"/>
        <v>20</v>
      </c>
      <c r="BX230" s="59">
        <f t="shared" si="218"/>
        <v>2766162804</v>
      </c>
      <c r="BY230" s="59">
        <f t="shared" si="219"/>
        <v>1718521377</v>
      </c>
      <c r="BZ230" s="59">
        <f t="shared" si="220"/>
        <v>3709442979</v>
      </c>
      <c r="CA230" s="59">
        <f t="shared" si="221"/>
        <v>2288597010</v>
      </c>
      <c r="CB230" s="59">
        <f t="shared" si="222"/>
        <v>24022221</v>
      </c>
      <c r="CC230" s="59">
        <f t="shared" si="223"/>
        <v>3519296668</v>
      </c>
      <c r="CD230" s="59">
        <f t="shared" si="224"/>
        <v>2214595360</v>
      </c>
      <c r="CE230" s="59">
        <f t="shared" si="225"/>
        <v>6817792</v>
      </c>
      <c r="CF230" s="59">
        <f t="shared" si="226"/>
        <v>2046415063</v>
      </c>
      <c r="CG230" s="59">
        <f t="shared" si="227"/>
        <v>3993482803</v>
      </c>
      <c r="CH230" s="59">
        <f t="shared" si="228"/>
        <v>23625925</v>
      </c>
      <c r="CI230" s="59">
        <f t="shared" si="229"/>
        <v>3221500944</v>
      </c>
      <c r="CJ230" s="59">
        <f t="shared" si="230"/>
        <v>2023185434</v>
      </c>
      <c r="CK230" s="59">
        <f t="shared" si="231"/>
        <v>1069777583</v>
      </c>
    </row>
    <row r="231" spans="60:89" ht="12.75" customHeight="1" x14ac:dyDescent="0.25">
      <c r="BH231" s="58">
        <f t="shared" si="202"/>
        <v>1491471598</v>
      </c>
      <c r="BI231" s="58">
        <f t="shared" si="203"/>
        <v>1759125353</v>
      </c>
      <c r="BJ231" s="59">
        <f t="shared" si="204"/>
        <v>875738678</v>
      </c>
      <c r="BK231" s="59">
        <f t="shared" si="205"/>
        <v>935329792</v>
      </c>
      <c r="BL231" s="59">
        <f t="shared" si="206"/>
        <v>6841708</v>
      </c>
      <c r="BM231" s="59">
        <f t="shared" si="207"/>
        <v>1819246592</v>
      </c>
      <c r="BN231" s="59">
        <f t="shared" si="208"/>
        <v>13683416</v>
      </c>
      <c r="BO231" s="59">
        <f t="shared" si="209"/>
        <v>3638493184</v>
      </c>
      <c r="BP231" s="59">
        <f t="shared" si="210"/>
        <v>2106404</v>
      </c>
      <c r="BQ231" s="59">
        <f t="shared" si="211"/>
        <v>608174080</v>
      </c>
      <c r="BR231" s="59">
        <f t="shared" si="212"/>
        <v>878367578</v>
      </c>
      <c r="BS231" s="59">
        <f t="shared" si="213"/>
        <v>1538228224</v>
      </c>
      <c r="BT231" s="59">
        <f t="shared" si="214"/>
        <v>5292632</v>
      </c>
      <c r="BU231" s="59">
        <f t="shared" si="215"/>
        <v>1485766656</v>
      </c>
      <c r="BV231" s="59">
        <f t="shared" si="216"/>
        <v>881465730</v>
      </c>
      <c r="BW231" s="59">
        <f t="shared" si="217"/>
        <v>2205188096</v>
      </c>
      <c r="BX231" s="59">
        <f t="shared" si="218"/>
        <v>3317088984</v>
      </c>
      <c r="BY231" s="59">
        <f t="shared" si="219"/>
        <v>3256024932</v>
      </c>
      <c r="BZ231" s="59">
        <f t="shared" si="220"/>
        <v>3056633023</v>
      </c>
      <c r="CA231" s="59">
        <f t="shared" si="221"/>
        <v>3643895216</v>
      </c>
      <c r="CB231" s="59">
        <f t="shared" si="222"/>
        <v>5969986</v>
      </c>
      <c r="CC231" s="59">
        <f t="shared" si="223"/>
        <v>1609341110</v>
      </c>
      <c r="CD231" s="59">
        <f t="shared" si="224"/>
        <v>2217771160</v>
      </c>
      <c r="CE231" s="59">
        <f t="shared" si="225"/>
        <v>3222301984</v>
      </c>
      <c r="CF231" s="59">
        <f t="shared" si="226"/>
        <v>1938179687</v>
      </c>
      <c r="CG231" s="59">
        <f t="shared" si="227"/>
        <v>455316180</v>
      </c>
      <c r="CH231" s="59">
        <f t="shared" si="228"/>
        <v>131138</v>
      </c>
      <c r="CI231" s="59">
        <f t="shared" si="229"/>
        <v>455118996</v>
      </c>
      <c r="CJ231" s="59">
        <f t="shared" si="230"/>
        <v>1943887397</v>
      </c>
      <c r="CK231" s="59">
        <f t="shared" si="231"/>
        <v>1154419298</v>
      </c>
    </row>
    <row r="232" spans="60:89" ht="12.75" customHeight="1" x14ac:dyDescent="0.25">
      <c r="BH232" s="58">
        <f t="shared" si="202"/>
        <v>237504751</v>
      </c>
      <c r="BI232" s="58">
        <f t="shared" si="203"/>
        <v>3109507210</v>
      </c>
      <c r="BJ232" s="59">
        <f t="shared" si="204"/>
        <v>163840</v>
      </c>
      <c r="BK232" s="59">
        <f t="shared" si="205"/>
        <v>160</v>
      </c>
      <c r="BL232" s="59">
        <f t="shared" si="206"/>
        <v>1073743104</v>
      </c>
      <c r="BM232" s="59">
        <f t="shared" si="207"/>
        <v>1</v>
      </c>
      <c r="BN232" s="59">
        <f t="shared" si="208"/>
        <v>2560</v>
      </c>
      <c r="BO232" s="59">
        <f t="shared" si="209"/>
        <v>2</v>
      </c>
      <c r="BP232" s="59">
        <f t="shared" si="210"/>
        <v>0</v>
      </c>
      <c r="BQ232" s="59">
        <f t="shared" si="211"/>
        <v>0</v>
      </c>
      <c r="BR232" s="59">
        <f t="shared" si="212"/>
        <v>1073906944</v>
      </c>
      <c r="BS232" s="59">
        <f t="shared" si="213"/>
        <v>161</v>
      </c>
      <c r="BT232" s="59">
        <f t="shared" si="214"/>
        <v>0</v>
      </c>
      <c r="BU232" s="59">
        <f t="shared" si="215"/>
        <v>0</v>
      </c>
      <c r="BV232" s="59">
        <f t="shared" si="216"/>
        <v>1073909504</v>
      </c>
      <c r="BW232" s="59">
        <f t="shared" si="217"/>
        <v>163</v>
      </c>
      <c r="BX232" s="59">
        <f t="shared" si="218"/>
        <v>2155503984</v>
      </c>
      <c r="BY232" s="59">
        <f t="shared" si="219"/>
        <v>962658409</v>
      </c>
      <c r="BZ232" s="59">
        <f t="shared" si="220"/>
        <v>1544443968</v>
      </c>
      <c r="CA232" s="59">
        <f t="shared" si="221"/>
        <v>442506904</v>
      </c>
      <c r="CB232" s="59">
        <f t="shared" si="222"/>
        <v>3016492</v>
      </c>
      <c r="CC232" s="59">
        <f t="shared" si="223"/>
        <v>537735183</v>
      </c>
      <c r="CD232" s="59">
        <f t="shared" si="224"/>
        <v>671808</v>
      </c>
      <c r="CE232" s="59">
        <f t="shared" si="225"/>
        <v>408944648</v>
      </c>
      <c r="CF232" s="59">
        <f t="shared" si="226"/>
        <v>3698604336</v>
      </c>
      <c r="CG232" s="59">
        <f t="shared" si="227"/>
        <v>587276017</v>
      </c>
      <c r="CH232" s="59">
        <f t="shared" si="228"/>
        <v>2359584</v>
      </c>
      <c r="CI232" s="59">
        <f t="shared" si="229"/>
        <v>536940545</v>
      </c>
      <c r="CJ232" s="59">
        <f t="shared" si="230"/>
        <v>3696901660</v>
      </c>
      <c r="CK232" s="59">
        <f t="shared" si="231"/>
        <v>51130110</v>
      </c>
    </row>
    <row r="233" spans="60:89" ht="12.75" customHeight="1" x14ac:dyDescent="0.25">
      <c r="BH233" s="58">
        <f t="shared" si="202"/>
        <v>2884989359</v>
      </c>
      <c r="BI233" s="58">
        <f t="shared" si="203"/>
        <v>4272297117</v>
      </c>
      <c r="BJ233" s="59">
        <f t="shared" si="204"/>
        <v>2705685999</v>
      </c>
      <c r="BK233" s="59">
        <f t="shared" si="205"/>
        <v>806995705</v>
      </c>
      <c r="BL233" s="59">
        <f t="shared" si="206"/>
        <v>4081224443</v>
      </c>
      <c r="BM233" s="59">
        <f t="shared" si="207"/>
        <v>3730846605</v>
      </c>
      <c r="BN233" s="59">
        <f t="shared" si="208"/>
        <v>8721911</v>
      </c>
      <c r="BO233" s="59">
        <f t="shared" si="209"/>
        <v>3166725915</v>
      </c>
      <c r="BP233" s="59">
        <f t="shared" si="210"/>
        <v>2705328363</v>
      </c>
      <c r="BQ233" s="59">
        <f t="shared" si="211"/>
        <v>268436105</v>
      </c>
      <c r="BR233" s="59">
        <f t="shared" si="212"/>
        <v>1376253716</v>
      </c>
      <c r="BS233" s="59">
        <f t="shared" si="213"/>
        <v>4000970100</v>
      </c>
      <c r="BT233" s="59">
        <f t="shared" si="214"/>
        <v>333076</v>
      </c>
      <c r="BU233" s="59">
        <f t="shared" si="215"/>
        <v>2889901328</v>
      </c>
      <c r="BV233" s="59">
        <f t="shared" si="216"/>
        <v>1384309475</v>
      </c>
      <c r="BW233" s="59">
        <f t="shared" si="217"/>
        <v>1387893359</v>
      </c>
      <c r="BX233" s="59">
        <f t="shared" si="218"/>
        <v>1139616540</v>
      </c>
      <c r="BY233" s="59">
        <f t="shared" si="219"/>
        <v>3248344347</v>
      </c>
      <c r="BZ233" s="59">
        <f t="shared" si="220"/>
        <v>3341838195</v>
      </c>
      <c r="CA233" s="59">
        <f t="shared" si="221"/>
        <v>1188100938</v>
      </c>
      <c r="CB233" s="59">
        <f t="shared" si="222"/>
        <v>23304243</v>
      </c>
      <c r="CC233" s="59">
        <f t="shared" si="223"/>
        <v>3114494077</v>
      </c>
      <c r="CD233" s="59">
        <f t="shared" si="224"/>
        <v>1126179600</v>
      </c>
      <c r="CE233" s="59">
        <f t="shared" si="225"/>
        <v>1083230474</v>
      </c>
      <c r="CF233" s="59">
        <f t="shared" si="226"/>
        <v>2229095535</v>
      </c>
      <c r="CG233" s="59">
        <f t="shared" si="227"/>
        <v>2269984337</v>
      </c>
      <c r="CH233" s="59">
        <f t="shared" si="228"/>
        <v>4261923</v>
      </c>
      <c r="CI233" s="59">
        <f t="shared" si="229"/>
        <v>2164334673</v>
      </c>
      <c r="CJ233" s="59">
        <f t="shared" si="230"/>
        <v>2243875932</v>
      </c>
      <c r="CK233" s="59">
        <f t="shared" si="231"/>
        <v>1055809068</v>
      </c>
    </row>
    <row r="234" spans="60:89" ht="12.75" customHeight="1" x14ac:dyDescent="0.25">
      <c r="BH234" s="58">
        <f t="shared" si="202"/>
        <v>4109313838</v>
      </c>
      <c r="BI234" s="58">
        <f t="shared" si="203"/>
        <v>1634464264</v>
      </c>
      <c r="BJ234" s="59">
        <f t="shared" si="204"/>
        <v>2147486208</v>
      </c>
      <c r="BK234" s="59">
        <f t="shared" si="205"/>
        <v>1342178562</v>
      </c>
      <c r="BL234" s="59">
        <f t="shared" si="206"/>
        <v>83886100</v>
      </c>
      <c r="BM234" s="59">
        <f t="shared" si="207"/>
        <v>10485770</v>
      </c>
      <c r="BN234" s="59">
        <f t="shared" si="208"/>
        <v>40</v>
      </c>
      <c r="BO234" s="59">
        <f t="shared" si="209"/>
        <v>20971540</v>
      </c>
      <c r="BP234" s="59">
        <f t="shared" si="210"/>
        <v>0</v>
      </c>
      <c r="BQ234" s="59">
        <f t="shared" si="211"/>
        <v>2</v>
      </c>
      <c r="BR234" s="59">
        <f t="shared" si="212"/>
        <v>2231372308</v>
      </c>
      <c r="BS234" s="59">
        <f t="shared" si="213"/>
        <v>1352664328</v>
      </c>
      <c r="BT234" s="59">
        <f t="shared" si="214"/>
        <v>0</v>
      </c>
      <c r="BU234" s="59">
        <f t="shared" si="215"/>
        <v>0</v>
      </c>
      <c r="BV234" s="59">
        <f t="shared" si="216"/>
        <v>2231372348</v>
      </c>
      <c r="BW234" s="59">
        <f t="shared" si="217"/>
        <v>1373635868</v>
      </c>
      <c r="BX234" s="59">
        <f t="shared" si="218"/>
        <v>3926999493</v>
      </c>
      <c r="BY234" s="59">
        <f t="shared" si="219"/>
        <v>18741034</v>
      </c>
      <c r="BZ234" s="59">
        <f t="shared" si="220"/>
        <v>1900038013</v>
      </c>
      <c r="CA234" s="59">
        <f t="shared" si="221"/>
        <v>3401221200</v>
      </c>
      <c r="CB234" s="59">
        <f t="shared" si="222"/>
        <v>3711011</v>
      </c>
      <c r="CC234" s="59">
        <f t="shared" si="223"/>
        <v>3202702658</v>
      </c>
      <c r="CD234" s="59">
        <f t="shared" si="224"/>
        <v>1610629445</v>
      </c>
      <c r="CE234" s="59">
        <f t="shared" si="225"/>
        <v>1606656</v>
      </c>
      <c r="CF234" s="59">
        <f t="shared" si="226"/>
        <v>2605778616</v>
      </c>
      <c r="CG234" s="59">
        <f t="shared" si="227"/>
        <v>3416748922</v>
      </c>
      <c r="CH234" s="59">
        <f t="shared" si="228"/>
        <v>1048608</v>
      </c>
      <c r="CI234" s="59">
        <f t="shared" si="229"/>
        <v>2326090050</v>
      </c>
      <c r="CJ234" s="59">
        <f t="shared" si="230"/>
        <v>2607392411</v>
      </c>
      <c r="CK234" s="59">
        <f t="shared" si="231"/>
        <v>1967271480</v>
      </c>
    </row>
    <row r="235" spans="60:89" ht="12.75" customHeight="1" x14ac:dyDescent="0.25">
      <c r="BH235" s="58">
        <f t="shared" si="202"/>
        <v>353902398</v>
      </c>
      <c r="BI235" s="58">
        <f t="shared" si="203"/>
        <v>988222421</v>
      </c>
      <c r="BJ235" s="59">
        <f t="shared" si="204"/>
        <v>2993802918</v>
      </c>
      <c r="BK235" s="59">
        <f t="shared" si="205"/>
        <v>2478028501</v>
      </c>
      <c r="BL235" s="59">
        <f t="shared" si="206"/>
        <v>2875515805</v>
      </c>
      <c r="BM235" s="59">
        <f t="shared" si="207"/>
        <v>1294428013</v>
      </c>
      <c r="BN235" s="59">
        <f t="shared" si="208"/>
        <v>13223738</v>
      </c>
      <c r="BO235" s="59">
        <f t="shared" si="209"/>
        <v>2588856027</v>
      </c>
      <c r="BP235" s="59">
        <f t="shared" si="210"/>
        <v>2724250244</v>
      </c>
      <c r="BQ235" s="59">
        <f t="shared" si="211"/>
        <v>19080773</v>
      </c>
      <c r="BR235" s="59">
        <f t="shared" si="212"/>
        <v>420818235</v>
      </c>
      <c r="BS235" s="59">
        <f t="shared" si="213"/>
        <v>3734294968</v>
      </c>
      <c r="BT235" s="59">
        <f t="shared" si="214"/>
        <v>66874</v>
      </c>
      <c r="BU235" s="59">
        <f t="shared" si="215"/>
        <v>2584002712</v>
      </c>
      <c r="BV235" s="59">
        <f t="shared" si="216"/>
        <v>433908225</v>
      </c>
      <c r="BW235" s="59">
        <f t="shared" si="217"/>
        <v>1155145571</v>
      </c>
      <c r="BX235" s="59">
        <f t="shared" si="218"/>
        <v>3264460158</v>
      </c>
      <c r="BY235" s="59">
        <f t="shared" si="219"/>
        <v>2922774484</v>
      </c>
      <c r="BZ235" s="59">
        <f t="shared" si="220"/>
        <v>1605078399</v>
      </c>
      <c r="CA235" s="59">
        <f t="shared" si="221"/>
        <v>4113605869</v>
      </c>
      <c r="CB235" s="59">
        <f t="shared" si="222"/>
        <v>45077958</v>
      </c>
      <c r="CC235" s="59">
        <f t="shared" si="223"/>
        <v>3220871250</v>
      </c>
      <c r="CD235" s="59">
        <f t="shared" si="224"/>
        <v>1115915646</v>
      </c>
      <c r="CE235" s="59">
        <f t="shared" si="225"/>
        <v>2754651332</v>
      </c>
      <c r="CF235" s="59">
        <f t="shared" si="226"/>
        <v>2637707265</v>
      </c>
      <c r="CG235" s="59">
        <f t="shared" si="227"/>
        <v>1527077689</v>
      </c>
      <c r="CH235" s="59">
        <f t="shared" si="228"/>
        <v>2625536</v>
      </c>
      <c r="CI235" s="59">
        <f t="shared" si="229"/>
        <v>452990992</v>
      </c>
      <c r="CJ235" s="59">
        <f t="shared" si="230"/>
        <v>2677534151</v>
      </c>
      <c r="CK235" s="59">
        <f t="shared" si="231"/>
        <v>3841966955</v>
      </c>
    </row>
    <row r="236" spans="60:89" ht="12.75" customHeight="1" x14ac:dyDescent="0.25">
      <c r="BH236" s="58">
        <f t="shared" si="202"/>
        <v>1463355777</v>
      </c>
      <c r="BI236" s="58">
        <f t="shared" si="203"/>
        <v>4157452751</v>
      </c>
      <c r="BJ236" s="59">
        <f t="shared" si="204"/>
        <v>10485802</v>
      </c>
      <c r="BK236" s="59">
        <f t="shared" si="205"/>
        <v>2147492352</v>
      </c>
      <c r="BL236" s="59">
        <f t="shared" si="206"/>
        <v>81920</v>
      </c>
      <c r="BM236" s="59">
        <f t="shared" si="207"/>
        <v>1426063428</v>
      </c>
      <c r="BN236" s="59">
        <f t="shared" si="208"/>
        <v>163840</v>
      </c>
      <c r="BO236" s="59">
        <f t="shared" si="209"/>
        <v>2852126856</v>
      </c>
      <c r="BP236" s="59">
        <f t="shared" si="210"/>
        <v>0</v>
      </c>
      <c r="BQ236" s="59">
        <f t="shared" si="211"/>
        <v>0</v>
      </c>
      <c r="BR236" s="59">
        <f t="shared" si="212"/>
        <v>10567722</v>
      </c>
      <c r="BS236" s="59">
        <f t="shared" si="213"/>
        <v>3573555780</v>
      </c>
      <c r="BT236" s="59">
        <f t="shared" si="214"/>
        <v>0</v>
      </c>
      <c r="BU236" s="59">
        <f t="shared" si="215"/>
        <v>2147483648</v>
      </c>
      <c r="BV236" s="59">
        <f t="shared" si="216"/>
        <v>10731562</v>
      </c>
      <c r="BW236" s="59">
        <f t="shared" si="217"/>
        <v>2130715340</v>
      </c>
      <c r="BX236" s="59">
        <f t="shared" si="218"/>
        <v>2118196893</v>
      </c>
      <c r="BY236" s="59">
        <f t="shared" si="219"/>
        <v>3840265261</v>
      </c>
      <c r="BZ236" s="59">
        <f t="shared" si="220"/>
        <v>2809739635</v>
      </c>
      <c r="CA236" s="59">
        <f t="shared" si="221"/>
        <v>190812231</v>
      </c>
      <c r="CB236" s="59">
        <f t="shared" si="222"/>
        <v>64208028</v>
      </c>
      <c r="CC236" s="59">
        <f t="shared" si="223"/>
        <v>3112546248</v>
      </c>
      <c r="CD236" s="59">
        <f t="shared" si="224"/>
        <v>641800209</v>
      </c>
      <c r="CE236" s="59">
        <f t="shared" si="225"/>
        <v>4554757</v>
      </c>
      <c r="CF236" s="59">
        <f t="shared" si="226"/>
        <v>3644336110</v>
      </c>
      <c r="CG236" s="59">
        <f t="shared" si="227"/>
        <v>4021967978</v>
      </c>
      <c r="CH236" s="59">
        <f t="shared" si="228"/>
        <v>17835148</v>
      </c>
      <c r="CI236" s="59">
        <f t="shared" si="229"/>
        <v>2843741256</v>
      </c>
      <c r="CJ236" s="59">
        <f t="shared" si="230"/>
        <v>3672873842</v>
      </c>
      <c r="CK236" s="59">
        <f t="shared" si="231"/>
        <v>1447031714</v>
      </c>
    </row>
    <row r="237" spans="60:89" ht="12.75" customHeight="1" x14ac:dyDescent="0.25">
      <c r="BH237" s="58">
        <f t="shared" si="202"/>
        <v>628117732</v>
      </c>
      <c r="BI237" s="58">
        <f t="shared" si="203"/>
        <v>3993291126</v>
      </c>
      <c r="BJ237" s="59">
        <f t="shared" si="204"/>
        <v>3852272704</v>
      </c>
      <c r="BK237" s="59">
        <f t="shared" si="205"/>
        <v>1040689684</v>
      </c>
      <c r="BL237" s="59">
        <f t="shared" si="206"/>
        <v>701184520</v>
      </c>
      <c r="BM237" s="59">
        <f t="shared" si="207"/>
        <v>2155614036</v>
      </c>
      <c r="BN237" s="59">
        <f t="shared" si="208"/>
        <v>26637329</v>
      </c>
      <c r="BO237" s="59">
        <f t="shared" si="209"/>
        <v>16260776</v>
      </c>
      <c r="BP237" s="59">
        <f t="shared" si="210"/>
        <v>562626560</v>
      </c>
      <c r="BQ237" s="59">
        <f t="shared" si="211"/>
        <v>264724</v>
      </c>
      <c r="BR237" s="59">
        <f t="shared" si="212"/>
        <v>3428204104</v>
      </c>
      <c r="BS237" s="59">
        <f t="shared" si="213"/>
        <v>3195774272</v>
      </c>
      <c r="BT237" s="59">
        <f t="shared" si="214"/>
        <v>1455104</v>
      </c>
      <c r="BU237" s="59">
        <f t="shared" si="215"/>
        <v>7865344</v>
      </c>
      <c r="BV237" s="59">
        <f t="shared" si="216"/>
        <v>3451931225</v>
      </c>
      <c r="BW237" s="59">
        <f t="shared" si="217"/>
        <v>3196304360</v>
      </c>
      <c r="BX237" s="59">
        <f t="shared" si="218"/>
        <v>3799687843</v>
      </c>
      <c r="BY237" s="59">
        <f t="shared" si="219"/>
        <v>65521500</v>
      </c>
      <c r="BZ237" s="59">
        <f t="shared" si="220"/>
        <v>2831219185</v>
      </c>
      <c r="CA237" s="59">
        <f t="shared" si="221"/>
        <v>3610812072</v>
      </c>
      <c r="CB237" s="59">
        <f t="shared" si="222"/>
        <v>5529724</v>
      </c>
      <c r="CC237" s="59">
        <f t="shared" si="223"/>
        <v>4176190543</v>
      </c>
      <c r="CD237" s="59">
        <f t="shared" si="224"/>
        <v>2688589985</v>
      </c>
      <c r="CE237" s="59">
        <f t="shared" si="225"/>
        <v>52463112</v>
      </c>
      <c r="CF237" s="59">
        <f t="shared" si="226"/>
        <v>1253727058</v>
      </c>
      <c r="CG237" s="59">
        <f t="shared" si="227"/>
        <v>3571407348</v>
      </c>
      <c r="CH237" s="59">
        <f t="shared" si="228"/>
        <v>1065040</v>
      </c>
      <c r="CI237" s="59">
        <f t="shared" si="229"/>
        <v>3502970948</v>
      </c>
      <c r="CJ237" s="59">
        <f t="shared" si="230"/>
        <v>1257126702</v>
      </c>
      <c r="CK237" s="59">
        <f t="shared" si="231"/>
        <v>741655995</v>
      </c>
    </row>
    <row r="238" spans="60:89" ht="12.75" customHeight="1" x14ac:dyDescent="0.25">
      <c r="BH238" s="58">
        <f t="shared" si="202"/>
        <v>1486316035</v>
      </c>
      <c r="BI238" s="58">
        <f t="shared" si="203"/>
        <v>1424806625</v>
      </c>
      <c r="BJ238" s="59">
        <f t="shared" si="204"/>
        <v>896874358</v>
      </c>
      <c r="BK238" s="59">
        <f t="shared" si="205"/>
        <v>3787735176</v>
      </c>
      <c r="BL238" s="59">
        <f t="shared" si="206"/>
        <v>275442286</v>
      </c>
      <c r="BM238" s="59">
        <f t="shared" si="207"/>
        <v>3989014657</v>
      </c>
      <c r="BN238" s="59">
        <f t="shared" si="208"/>
        <v>14013661</v>
      </c>
      <c r="BO238" s="59">
        <f t="shared" si="209"/>
        <v>3683062018</v>
      </c>
      <c r="BP238" s="59">
        <f t="shared" si="210"/>
        <v>274735718</v>
      </c>
      <c r="BQ238" s="59">
        <f t="shared" si="211"/>
        <v>3787456640</v>
      </c>
      <c r="BR238" s="59">
        <f t="shared" si="212"/>
        <v>622845208</v>
      </c>
      <c r="BS238" s="59">
        <f t="shared" si="213"/>
        <v>201836553</v>
      </c>
      <c r="BT238" s="59">
        <f t="shared" si="214"/>
        <v>1430552</v>
      </c>
      <c r="BU238" s="59">
        <f t="shared" si="215"/>
        <v>134676480</v>
      </c>
      <c r="BV238" s="59">
        <f t="shared" si="216"/>
        <v>633997765</v>
      </c>
      <c r="BW238" s="59">
        <f t="shared" si="217"/>
        <v>3615545611</v>
      </c>
      <c r="BX238" s="59">
        <f t="shared" si="218"/>
        <v>3057248999</v>
      </c>
      <c r="BY238" s="59">
        <f t="shared" si="219"/>
        <v>556809977</v>
      </c>
      <c r="BZ238" s="59">
        <f t="shared" si="220"/>
        <v>3116911631</v>
      </c>
      <c r="CA238" s="59">
        <f t="shared" si="221"/>
        <v>3194850938</v>
      </c>
      <c r="CB238" s="59">
        <f t="shared" si="222"/>
        <v>22864934</v>
      </c>
      <c r="CC238" s="59">
        <f t="shared" si="223"/>
        <v>132069063</v>
      </c>
      <c r="CD238" s="59">
        <f t="shared" si="224"/>
        <v>2953332743</v>
      </c>
      <c r="CE238" s="59">
        <f t="shared" si="225"/>
        <v>538971768</v>
      </c>
      <c r="CF238" s="59">
        <f t="shared" si="226"/>
        <v>267495144</v>
      </c>
      <c r="CG238" s="59">
        <f t="shared" si="227"/>
        <v>2673717379</v>
      </c>
      <c r="CH238" s="59">
        <f t="shared" si="228"/>
        <v>22062112</v>
      </c>
      <c r="CI238" s="59">
        <f t="shared" si="229"/>
        <v>123547779</v>
      </c>
      <c r="CJ238" s="59">
        <f t="shared" si="230"/>
        <v>246235854</v>
      </c>
      <c r="CK238" s="59">
        <f t="shared" si="231"/>
        <v>2558690884</v>
      </c>
    </row>
    <row r="239" spans="60:89" ht="12.75" customHeight="1" x14ac:dyDescent="0.25">
      <c r="BH239" s="58">
        <f t="shared" si="202"/>
        <v>842777541</v>
      </c>
      <c r="BI239" s="58">
        <f t="shared" si="203"/>
        <v>34569408</v>
      </c>
      <c r="BJ239" s="59">
        <f t="shared" si="204"/>
        <v>3628026531</v>
      </c>
      <c r="BK239" s="59">
        <f t="shared" si="205"/>
        <v>1347242607</v>
      </c>
      <c r="BL239" s="59">
        <f t="shared" si="206"/>
        <v>3752885909</v>
      </c>
      <c r="BM239" s="59">
        <f t="shared" si="207"/>
        <v>1184930452</v>
      </c>
      <c r="BN239" s="59">
        <f t="shared" si="208"/>
        <v>23133482</v>
      </c>
      <c r="BO239" s="59">
        <f t="shared" si="209"/>
        <v>2369860905</v>
      </c>
      <c r="BP239" s="59">
        <f t="shared" si="210"/>
        <v>3627043457</v>
      </c>
      <c r="BQ239" s="59">
        <f t="shared" si="211"/>
        <v>1073744388</v>
      </c>
      <c r="BR239" s="59">
        <f t="shared" si="212"/>
        <v>126825526</v>
      </c>
      <c r="BS239" s="59">
        <f t="shared" si="213"/>
        <v>384684283</v>
      </c>
      <c r="BT239" s="59">
        <f t="shared" si="214"/>
        <v>16790562</v>
      </c>
      <c r="BU239" s="59">
        <f t="shared" si="215"/>
        <v>71372841</v>
      </c>
      <c r="BV239" s="59">
        <f t="shared" si="216"/>
        <v>116377884</v>
      </c>
      <c r="BW239" s="59">
        <f t="shared" si="217"/>
        <v>2611799506</v>
      </c>
      <c r="BX239" s="59">
        <f t="shared" si="218"/>
        <v>2569979054</v>
      </c>
      <c r="BY239" s="59">
        <f t="shared" si="219"/>
        <v>169647552</v>
      </c>
      <c r="BZ239" s="59">
        <f t="shared" si="220"/>
        <v>729974567</v>
      </c>
      <c r="CA239" s="59">
        <f t="shared" si="221"/>
        <v>1881557937</v>
      </c>
      <c r="CB239" s="59">
        <f t="shared" si="222"/>
        <v>9814339</v>
      </c>
      <c r="CC239" s="59">
        <f t="shared" si="223"/>
        <v>2478314277</v>
      </c>
      <c r="CD239" s="59">
        <f t="shared" si="224"/>
        <v>151159846</v>
      </c>
      <c r="CE239" s="59">
        <f t="shared" si="225"/>
        <v>264576</v>
      </c>
      <c r="CF239" s="59">
        <f t="shared" si="226"/>
        <v>2997633929</v>
      </c>
      <c r="CG239" s="59">
        <f t="shared" si="227"/>
        <v>2050676337</v>
      </c>
      <c r="CH239" s="59">
        <f t="shared" si="228"/>
        <v>8667393</v>
      </c>
      <c r="CI239" s="59">
        <f t="shared" si="229"/>
        <v>305664545</v>
      </c>
      <c r="CJ239" s="59">
        <f t="shared" si="230"/>
        <v>2990113482</v>
      </c>
      <c r="CK239" s="59">
        <f t="shared" si="231"/>
        <v>3917661524</v>
      </c>
    </row>
    <row r="240" spans="60:89" ht="12.75" customHeight="1" x14ac:dyDescent="0.25">
      <c r="BH240" s="58">
        <f t="shared" si="202"/>
        <v>3894589272</v>
      </c>
      <c r="BI240" s="58">
        <f t="shared" si="203"/>
        <v>4033135981</v>
      </c>
      <c r="BJ240" s="59">
        <f t="shared" si="204"/>
        <v>3300059059</v>
      </c>
      <c r="BK240" s="59">
        <f t="shared" si="205"/>
        <v>2741342324</v>
      </c>
      <c r="BL240" s="59">
        <f t="shared" si="206"/>
        <v>3918095823</v>
      </c>
      <c r="BM240" s="59">
        <f t="shared" si="207"/>
        <v>1732692768</v>
      </c>
      <c r="BN240" s="59">
        <f t="shared" si="208"/>
        <v>18008990</v>
      </c>
      <c r="BO240" s="59">
        <f t="shared" si="209"/>
        <v>3465385537</v>
      </c>
      <c r="BP240" s="59">
        <f t="shared" si="210"/>
        <v>3229640067</v>
      </c>
      <c r="BQ240" s="59">
        <f t="shared" si="211"/>
        <v>591691808</v>
      </c>
      <c r="BR240" s="59">
        <f t="shared" si="212"/>
        <v>758874748</v>
      </c>
      <c r="BS240" s="59">
        <f t="shared" si="213"/>
        <v>3290651476</v>
      </c>
      <c r="BT240" s="59">
        <f t="shared" si="214"/>
        <v>17990172</v>
      </c>
      <c r="BU240" s="59">
        <f t="shared" si="215"/>
        <v>3288404544</v>
      </c>
      <c r="BV240" s="59">
        <f t="shared" si="216"/>
        <v>740903394</v>
      </c>
      <c r="BW240" s="59">
        <f t="shared" si="217"/>
        <v>179227925</v>
      </c>
      <c r="BX240" s="59">
        <f t="shared" si="218"/>
        <v>2589731602</v>
      </c>
      <c r="BY240" s="59">
        <f t="shared" si="219"/>
        <v>3963644573</v>
      </c>
      <c r="BZ240" s="59">
        <f t="shared" si="220"/>
        <v>3300593690</v>
      </c>
      <c r="CA240" s="59">
        <f t="shared" si="221"/>
        <v>2808518410</v>
      </c>
      <c r="CB240" s="59">
        <f t="shared" si="222"/>
        <v>23223688</v>
      </c>
      <c r="CC240" s="59">
        <f t="shared" si="223"/>
        <v>223589195</v>
      </c>
      <c r="CD240" s="59">
        <f t="shared" si="224"/>
        <v>2149056530</v>
      </c>
      <c r="CE240" s="59">
        <f t="shared" si="225"/>
        <v>2755658248</v>
      </c>
      <c r="CF240" s="59">
        <f t="shared" si="226"/>
        <v>1592212232</v>
      </c>
      <c r="CG240" s="59">
        <f t="shared" si="227"/>
        <v>1260846487</v>
      </c>
      <c r="CH240" s="59">
        <f t="shared" si="228"/>
        <v>6428936</v>
      </c>
      <c r="CI240" s="59">
        <f t="shared" si="229"/>
        <v>151171331</v>
      </c>
      <c r="CJ240" s="59">
        <f t="shared" si="230"/>
        <v>1602578048</v>
      </c>
      <c r="CK240" s="59">
        <f t="shared" si="231"/>
        <v>1182093020</v>
      </c>
    </row>
    <row r="241" spans="60:89" ht="12.75" customHeight="1" x14ac:dyDescent="0.25">
      <c r="BH241" s="58">
        <f t="shared" si="202"/>
        <v>2810682604</v>
      </c>
      <c r="BI241" s="58">
        <f t="shared" si="203"/>
        <v>3406602666</v>
      </c>
      <c r="BJ241" s="59">
        <f t="shared" si="204"/>
        <v>1775721784</v>
      </c>
      <c r="BK241" s="59">
        <f t="shared" si="205"/>
        <v>914297185</v>
      </c>
      <c r="BL241" s="59">
        <f t="shared" si="206"/>
        <v>3268652730</v>
      </c>
      <c r="BM241" s="59">
        <f t="shared" si="207"/>
        <v>1886191138</v>
      </c>
      <c r="BN241" s="59">
        <f t="shared" si="208"/>
        <v>27745652</v>
      </c>
      <c r="BO241" s="59">
        <f t="shared" si="209"/>
        <v>3772382277</v>
      </c>
      <c r="BP241" s="59">
        <f t="shared" si="210"/>
        <v>1087573048</v>
      </c>
      <c r="BQ241" s="59">
        <f t="shared" si="211"/>
        <v>812388384</v>
      </c>
      <c r="BR241" s="59">
        <f t="shared" si="212"/>
        <v>2869228418</v>
      </c>
      <c r="BS241" s="59">
        <f t="shared" si="213"/>
        <v>1175711555</v>
      </c>
      <c r="BT241" s="59">
        <f t="shared" si="214"/>
        <v>17060096</v>
      </c>
      <c r="BU241" s="59">
        <f t="shared" si="215"/>
        <v>1074916417</v>
      </c>
      <c r="BV241" s="59">
        <f t="shared" si="216"/>
        <v>2862853878</v>
      </c>
      <c r="BW241" s="59">
        <f t="shared" si="217"/>
        <v>2798260998</v>
      </c>
      <c r="BX241" s="59">
        <f t="shared" si="218"/>
        <v>4019717703</v>
      </c>
      <c r="BY241" s="59">
        <f t="shared" si="219"/>
        <v>2021171265</v>
      </c>
      <c r="BZ241" s="59">
        <f t="shared" si="220"/>
        <v>2447253032</v>
      </c>
      <c r="CA241" s="59">
        <f t="shared" si="221"/>
        <v>276555265</v>
      </c>
      <c r="CB241" s="59">
        <f t="shared" si="222"/>
        <v>13168399</v>
      </c>
      <c r="CC241" s="59">
        <f t="shared" si="223"/>
        <v>336084467</v>
      </c>
      <c r="CD241" s="59">
        <f t="shared" si="224"/>
        <v>2174223872</v>
      </c>
      <c r="CE241" s="59">
        <f t="shared" si="225"/>
        <v>276340737</v>
      </c>
      <c r="CF241" s="59">
        <f t="shared" si="226"/>
        <v>2118522991</v>
      </c>
      <c r="CG241" s="59">
        <f t="shared" si="227"/>
        <v>1745045056</v>
      </c>
      <c r="CH241" s="59">
        <f t="shared" si="228"/>
        <v>4196367</v>
      </c>
      <c r="CI241" s="59">
        <f t="shared" si="229"/>
        <v>1088</v>
      </c>
      <c r="CJ241" s="59">
        <f t="shared" si="230"/>
        <v>2123298656</v>
      </c>
      <c r="CK241" s="59">
        <f t="shared" si="231"/>
        <v>2081127347</v>
      </c>
    </row>
    <row r="242" spans="60:89" ht="12.75" customHeight="1" x14ac:dyDescent="0.25">
      <c r="BH242" s="58">
        <f t="shared" si="202"/>
        <v>3408829055</v>
      </c>
      <c r="BI242" s="58">
        <f t="shared" si="203"/>
        <v>4080467774</v>
      </c>
      <c r="BJ242" s="59">
        <f t="shared" si="204"/>
        <v>3372039484</v>
      </c>
      <c r="BK242" s="59">
        <f t="shared" si="205"/>
        <v>487266400</v>
      </c>
      <c r="BL242" s="59">
        <f t="shared" si="206"/>
        <v>3247569530</v>
      </c>
      <c r="BM242" s="59">
        <f t="shared" si="207"/>
        <v>2017072688</v>
      </c>
      <c r="BN242" s="59">
        <f t="shared" si="208"/>
        <v>19133684</v>
      </c>
      <c r="BO242" s="59">
        <f t="shared" si="209"/>
        <v>4034145377</v>
      </c>
      <c r="BP242" s="59">
        <f t="shared" si="210"/>
        <v>3230742584</v>
      </c>
      <c r="BQ242" s="59">
        <f t="shared" si="211"/>
        <v>403312672</v>
      </c>
      <c r="BR242" s="59">
        <f t="shared" si="212"/>
        <v>158123846</v>
      </c>
      <c r="BS242" s="59">
        <f t="shared" si="213"/>
        <v>1697713744</v>
      </c>
      <c r="BT242" s="59">
        <f t="shared" si="214"/>
        <v>18924612</v>
      </c>
      <c r="BU242" s="59">
        <f t="shared" si="215"/>
        <v>1613761600</v>
      </c>
      <c r="BV242" s="59">
        <f t="shared" si="216"/>
        <v>139408306</v>
      </c>
      <c r="BW242" s="59">
        <f t="shared" si="217"/>
        <v>2504335921</v>
      </c>
      <c r="BX242" s="59">
        <f t="shared" si="218"/>
        <v>2561522948</v>
      </c>
      <c r="BY242" s="59">
        <f t="shared" si="219"/>
        <v>1458249228</v>
      </c>
      <c r="BZ242" s="59">
        <f t="shared" si="220"/>
        <v>1091943111</v>
      </c>
      <c r="CA242" s="59">
        <f t="shared" si="221"/>
        <v>2200316783</v>
      </c>
      <c r="CB242" s="59">
        <f t="shared" si="222"/>
        <v>60852957</v>
      </c>
      <c r="CC242" s="59">
        <f t="shared" si="223"/>
        <v>1673630485</v>
      </c>
      <c r="CD242" s="59">
        <f t="shared" si="224"/>
        <v>374788</v>
      </c>
      <c r="CE242" s="59">
        <f t="shared" si="225"/>
        <v>35785228</v>
      </c>
      <c r="CF242" s="59">
        <f t="shared" si="226"/>
        <v>3652716483</v>
      </c>
      <c r="CG242" s="59">
        <f t="shared" si="227"/>
        <v>3586995555</v>
      </c>
      <c r="CH242" s="59">
        <f t="shared" si="228"/>
        <v>27263681</v>
      </c>
      <c r="CI242" s="59">
        <f t="shared" si="229"/>
        <v>1103171841</v>
      </c>
      <c r="CJ242" s="59">
        <f t="shared" si="230"/>
        <v>3659042078</v>
      </c>
      <c r="CK242" s="59">
        <f t="shared" si="231"/>
        <v>3054282358</v>
      </c>
    </row>
    <row r="243" spans="60:89" ht="12.75" customHeight="1" x14ac:dyDescent="0.25">
      <c r="BH243" s="58">
        <f t="shared" si="202"/>
        <v>3272126158</v>
      </c>
      <c r="BI243" s="58">
        <f t="shared" si="203"/>
        <v>4006481450</v>
      </c>
      <c r="BJ243" s="59">
        <f t="shared" si="204"/>
        <v>768711098</v>
      </c>
      <c r="BK243" s="59">
        <f t="shared" si="205"/>
        <v>948343681</v>
      </c>
      <c r="BL243" s="59">
        <f t="shared" si="206"/>
        <v>39559987</v>
      </c>
      <c r="BM243" s="59">
        <f t="shared" si="207"/>
        <v>1953565991</v>
      </c>
      <c r="BN243" s="59">
        <f t="shared" si="208"/>
        <v>12011110</v>
      </c>
      <c r="BO243" s="59">
        <f t="shared" si="209"/>
        <v>3907131982</v>
      </c>
      <c r="BP243" s="59">
        <f t="shared" si="210"/>
        <v>5341490</v>
      </c>
      <c r="BQ243" s="59">
        <f t="shared" si="211"/>
        <v>805306625</v>
      </c>
      <c r="BR243" s="59">
        <f t="shared" si="212"/>
        <v>797588105</v>
      </c>
      <c r="BS243" s="59">
        <f t="shared" si="213"/>
        <v>1291296422</v>
      </c>
      <c r="BT243" s="59">
        <f t="shared" si="214"/>
        <v>8520192</v>
      </c>
      <c r="BU243" s="59">
        <f t="shared" si="215"/>
        <v>1222777350</v>
      </c>
      <c r="BV243" s="59">
        <f t="shared" si="216"/>
        <v>792558831</v>
      </c>
      <c r="BW243" s="59">
        <f t="shared" si="217"/>
        <v>2752873704</v>
      </c>
      <c r="BX243" s="59">
        <f t="shared" si="218"/>
        <v>2486523120</v>
      </c>
      <c r="BY243" s="59">
        <f t="shared" si="219"/>
        <v>4087191905</v>
      </c>
      <c r="BZ243" s="59">
        <f t="shared" si="220"/>
        <v>1010624358</v>
      </c>
      <c r="CA243" s="59">
        <f t="shared" si="221"/>
        <v>1483017557</v>
      </c>
      <c r="CB243" s="59">
        <f t="shared" si="222"/>
        <v>43916915</v>
      </c>
      <c r="CC243" s="59">
        <f t="shared" si="223"/>
        <v>3006018182</v>
      </c>
      <c r="CD243" s="59">
        <f t="shared" si="224"/>
        <v>338969696</v>
      </c>
      <c r="CE243" s="59">
        <f t="shared" si="225"/>
        <v>1342507329</v>
      </c>
      <c r="CF243" s="59">
        <f t="shared" si="226"/>
        <v>2819208086</v>
      </c>
      <c r="CG243" s="59">
        <f t="shared" si="227"/>
        <v>2885194804</v>
      </c>
      <c r="CH243" s="59">
        <f t="shared" si="228"/>
        <v>528914</v>
      </c>
      <c r="CI243" s="59">
        <f t="shared" si="229"/>
        <v>2737311748</v>
      </c>
      <c r="CJ243" s="59">
        <f t="shared" si="230"/>
        <v>2862067173</v>
      </c>
      <c r="CK243" s="59">
        <f t="shared" si="231"/>
        <v>416589490</v>
      </c>
    </row>
    <row r="244" spans="60:89" ht="12.75" customHeight="1" x14ac:dyDescent="0.25">
      <c r="BH244" s="58">
        <f t="shared" si="202"/>
        <v>3291183047</v>
      </c>
      <c r="BI244" s="58">
        <f t="shared" si="203"/>
        <v>1508198801</v>
      </c>
      <c r="BJ244" s="59">
        <f t="shared" si="204"/>
        <v>191039563</v>
      </c>
      <c r="BK244" s="59">
        <f t="shared" si="205"/>
        <v>4254275291</v>
      </c>
      <c r="BL244" s="59">
        <f t="shared" si="206"/>
        <v>3054945808</v>
      </c>
      <c r="BM244" s="59">
        <f t="shared" si="207"/>
        <v>2549818925</v>
      </c>
      <c r="BN244" s="59">
        <f t="shared" si="208"/>
        <v>2984993</v>
      </c>
      <c r="BO244" s="59">
        <f t="shared" si="209"/>
        <v>804670555</v>
      </c>
      <c r="BP244" s="59">
        <f t="shared" si="210"/>
        <v>33685504</v>
      </c>
      <c r="BQ244" s="59">
        <f t="shared" si="211"/>
        <v>2509440521</v>
      </c>
      <c r="BR244" s="59">
        <f t="shared" si="212"/>
        <v>3178614363</v>
      </c>
      <c r="BS244" s="59">
        <f t="shared" si="213"/>
        <v>1785213174</v>
      </c>
      <c r="BT244" s="59">
        <f t="shared" si="214"/>
        <v>2460673</v>
      </c>
      <c r="BU244" s="59">
        <f t="shared" si="215"/>
        <v>710934610</v>
      </c>
      <c r="BV244" s="59">
        <f t="shared" si="216"/>
        <v>3176678010</v>
      </c>
      <c r="BW244" s="59">
        <f t="shared" si="217"/>
        <v>1168014509</v>
      </c>
      <c r="BX244" s="59">
        <f t="shared" si="218"/>
        <v>3756513637</v>
      </c>
      <c r="BY244" s="59">
        <f t="shared" si="219"/>
        <v>3545235046</v>
      </c>
      <c r="BZ244" s="59">
        <f t="shared" si="220"/>
        <v>1500828671</v>
      </c>
      <c r="CA244" s="59">
        <f t="shared" si="221"/>
        <v>2578971126</v>
      </c>
      <c r="CB244" s="59">
        <f t="shared" si="222"/>
        <v>53262953</v>
      </c>
      <c r="CC244" s="59">
        <f t="shared" si="223"/>
        <v>4291615740</v>
      </c>
      <c r="CD244" s="59">
        <f t="shared" si="224"/>
        <v>1499779429</v>
      </c>
      <c r="CE244" s="59">
        <f t="shared" si="225"/>
        <v>2433218662</v>
      </c>
      <c r="CF244" s="59">
        <f t="shared" si="226"/>
        <v>2257783450</v>
      </c>
      <c r="CG244" s="59">
        <f t="shared" si="227"/>
        <v>1257768848</v>
      </c>
      <c r="CH244" s="59">
        <f t="shared" si="228"/>
        <v>33557000</v>
      </c>
      <c r="CI244" s="59">
        <f t="shared" si="229"/>
        <v>1254622096</v>
      </c>
      <c r="CJ244" s="59">
        <f t="shared" si="230"/>
        <v>2243932403</v>
      </c>
      <c r="CK244" s="59">
        <f t="shared" si="231"/>
        <v>3040140396</v>
      </c>
    </row>
    <row r="245" spans="60:89" ht="12.75" customHeight="1" x14ac:dyDescent="0.25">
      <c r="BH245" s="58">
        <f t="shared" si="202"/>
        <v>2697324321</v>
      </c>
      <c r="BI245" s="58">
        <f t="shared" si="203"/>
        <v>3251202875</v>
      </c>
      <c r="BJ245" s="59">
        <f t="shared" si="204"/>
        <v>2244011396</v>
      </c>
      <c r="BK245" s="59">
        <f t="shared" si="205"/>
        <v>27656681</v>
      </c>
      <c r="BL245" s="59">
        <f t="shared" si="206"/>
        <v>3540746699</v>
      </c>
      <c r="BM245" s="59">
        <f t="shared" si="207"/>
        <v>134433795</v>
      </c>
      <c r="BN245" s="59">
        <f t="shared" si="208"/>
        <v>1508246</v>
      </c>
      <c r="BO245" s="59">
        <f t="shared" si="209"/>
        <v>268867591</v>
      </c>
      <c r="BP245" s="59">
        <f t="shared" si="210"/>
        <v>2164294016</v>
      </c>
      <c r="BQ245" s="59">
        <f t="shared" si="211"/>
        <v>131073</v>
      </c>
      <c r="BR245" s="59">
        <f t="shared" si="212"/>
        <v>1456170063</v>
      </c>
      <c r="BS245" s="59">
        <f t="shared" si="213"/>
        <v>161828330</v>
      </c>
      <c r="BT245" s="59">
        <f t="shared" si="214"/>
        <v>196614</v>
      </c>
      <c r="BU245" s="59">
        <f t="shared" si="215"/>
        <v>264194</v>
      </c>
      <c r="BV245" s="59">
        <f t="shared" si="216"/>
        <v>1457285081</v>
      </c>
      <c r="BW245" s="59">
        <f t="shared" si="217"/>
        <v>430167533</v>
      </c>
      <c r="BX245" s="59">
        <f t="shared" si="218"/>
        <v>3250935905</v>
      </c>
      <c r="BY245" s="59">
        <f t="shared" si="219"/>
        <v>366599641</v>
      </c>
      <c r="BZ245" s="59">
        <f t="shared" si="220"/>
        <v>407205495</v>
      </c>
      <c r="CA245" s="59">
        <f t="shared" si="221"/>
        <v>1987080534</v>
      </c>
      <c r="CB245" s="59">
        <f t="shared" si="222"/>
        <v>51126971</v>
      </c>
      <c r="CC245" s="59">
        <f t="shared" si="223"/>
        <v>1002125368</v>
      </c>
      <c r="CD245" s="59">
        <f t="shared" si="224"/>
        <v>4542561</v>
      </c>
      <c r="CE245" s="59">
        <f t="shared" si="225"/>
        <v>340808016</v>
      </c>
      <c r="CF245" s="59">
        <f t="shared" si="226"/>
        <v>3649056278</v>
      </c>
      <c r="CG245" s="59">
        <f t="shared" si="227"/>
        <v>1672064143</v>
      </c>
      <c r="CH245" s="59">
        <f t="shared" si="228"/>
        <v>16785938</v>
      </c>
      <c r="CI245" s="59">
        <f t="shared" si="229"/>
        <v>598288392</v>
      </c>
      <c r="CJ245" s="59">
        <f t="shared" si="230"/>
        <v>3666611373</v>
      </c>
      <c r="CK245" s="59">
        <f t="shared" si="231"/>
        <v>1477612727</v>
      </c>
    </row>
    <row r="246" spans="60:89" ht="12.75" customHeight="1" x14ac:dyDescent="0.25">
      <c r="BH246" s="58">
        <f t="shared" si="202"/>
        <v>2396055183</v>
      </c>
      <c r="BI246" s="58">
        <f t="shared" si="203"/>
        <v>3370456252</v>
      </c>
      <c r="BJ246" s="59">
        <f t="shared" si="204"/>
        <v>2893219447</v>
      </c>
      <c r="BK246" s="59">
        <f t="shared" si="205"/>
        <v>879562676</v>
      </c>
      <c r="BL246" s="59">
        <f t="shared" si="206"/>
        <v>1767433740</v>
      </c>
      <c r="BM246" s="59">
        <f t="shared" si="207"/>
        <v>3999848991</v>
      </c>
      <c r="BN246" s="59">
        <f t="shared" si="208"/>
        <v>11652121</v>
      </c>
      <c r="BO246" s="59">
        <f t="shared" si="209"/>
        <v>3704730686</v>
      </c>
      <c r="BP246" s="59">
        <f t="shared" si="210"/>
        <v>676333060</v>
      </c>
      <c r="BQ246" s="59">
        <f t="shared" si="211"/>
        <v>610798100</v>
      </c>
      <c r="BR246" s="59">
        <f t="shared" si="212"/>
        <v>3307987067</v>
      </c>
      <c r="BS246" s="59">
        <f t="shared" si="213"/>
        <v>3657815467</v>
      </c>
      <c r="BT246" s="59">
        <f t="shared" si="214"/>
        <v>2211865</v>
      </c>
      <c r="BU246" s="59">
        <f t="shared" si="215"/>
        <v>3623982122</v>
      </c>
      <c r="BV246" s="59">
        <f t="shared" si="216"/>
        <v>3315215458</v>
      </c>
      <c r="BW246" s="59">
        <f t="shared" si="217"/>
        <v>114581909</v>
      </c>
      <c r="BX246" s="59">
        <f t="shared" si="218"/>
        <v>2838640773</v>
      </c>
      <c r="BY246" s="59">
        <f t="shared" si="219"/>
        <v>1861806908</v>
      </c>
      <c r="BZ246" s="59">
        <f t="shared" si="220"/>
        <v>559660602</v>
      </c>
      <c r="CA246" s="59">
        <f t="shared" si="221"/>
        <v>3475655822</v>
      </c>
      <c r="CB246" s="59">
        <f t="shared" si="222"/>
        <v>51424735</v>
      </c>
      <c r="CC246" s="59">
        <f t="shared" si="223"/>
        <v>493327654</v>
      </c>
      <c r="CD246" s="59">
        <f t="shared" si="224"/>
        <v>554842112</v>
      </c>
      <c r="CE246" s="59">
        <f t="shared" si="225"/>
        <v>1311262732</v>
      </c>
      <c r="CF246" s="59">
        <f t="shared" si="226"/>
        <v>2288617151</v>
      </c>
      <c r="CG246" s="59">
        <f t="shared" si="227"/>
        <v>2714937266</v>
      </c>
      <c r="CH246" s="59">
        <f t="shared" si="228"/>
        <v>33951</v>
      </c>
      <c r="CI246" s="59">
        <f t="shared" si="229"/>
        <v>21136674</v>
      </c>
      <c r="CJ246" s="59">
        <f t="shared" si="230"/>
        <v>2339973984</v>
      </c>
      <c r="CK246" s="59">
        <f t="shared" si="231"/>
        <v>3165991572</v>
      </c>
    </row>
    <row r="247" spans="60:89" ht="12.75" customHeight="1" x14ac:dyDescent="0.25">
      <c r="BH247" s="58">
        <f t="shared" si="202"/>
        <v>4158298944</v>
      </c>
      <c r="BI247" s="58">
        <f t="shared" si="203"/>
        <v>2068282066</v>
      </c>
      <c r="BJ247" s="59">
        <f t="shared" si="204"/>
        <v>118752375</v>
      </c>
      <c r="BK247" s="59">
        <f t="shared" si="205"/>
        <v>3702237253</v>
      </c>
      <c r="BL247" s="59">
        <f t="shared" si="206"/>
        <v>2316183560</v>
      </c>
      <c r="BM247" s="59">
        <f t="shared" si="207"/>
        <v>4021901136</v>
      </c>
      <c r="BN247" s="59">
        <f t="shared" si="208"/>
        <v>1855505</v>
      </c>
      <c r="BO247" s="59">
        <f t="shared" si="209"/>
        <v>3748834977</v>
      </c>
      <c r="BP247" s="59">
        <f t="shared" si="210"/>
        <v>33816576</v>
      </c>
      <c r="BQ247" s="59">
        <f t="shared" si="211"/>
        <v>3433627712</v>
      </c>
      <c r="BR247" s="59">
        <f t="shared" si="212"/>
        <v>2367302783</v>
      </c>
      <c r="BS247" s="59">
        <f t="shared" si="213"/>
        <v>856882965</v>
      </c>
      <c r="BT247" s="59">
        <f t="shared" si="214"/>
        <v>1572881</v>
      </c>
      <c r="BU247" s="59">
        <f t="shared" si="215"/>
        <v>319991297</v>
      </c>
      <c r="BV247" s="59">
        <f t="shared" si="216"/>
        <v>2366012526</v>
      </c>
      <c r="BW247" s="59">
        <f t="shared" si="217"/>
        <v>3965735348</v>
      </c>
      <c r="BX247" s="59">
        <f t="shared" si="218"/>
        <v>761754648</v>
      </c>
      <c r="BY247" s="59">
        <f t="shared" si="219"/>
        <v>3169073209</v>
      </c>
      <c r="BZ247" s="59">
        <f t="shared" si="220"/>
        <v>103758094</v>
      </c>
      <c r="CA247" s="59">
        <f t="shared" si="221"/>
        <v>239819229</v>
      </c>
      <c r="CB247" s="59">
        <f t="shared" si="222"/>
        <v>42145692</v>
      </c>
      <c r="CC247" s="59">
        <f t="shared" si="223"/>
        <v>2265392556</v>
      </c>
      <c r="CD247" s="59">
        <f t="shared" si="224"/>
        <v>69677064</v>
      </c>
      <c r="CE247" s="59">
        <f t="shared" si="225"/>
        <v>205527065</v>
      </c>
      <c r="CF247" s="59">
        <f t="shared" si="226"/>
        <v>726158614</v>
      </c>
      <c r="CG247" s="59">
        <f t="shared" si="227"/>
        <v>2997838308</v>
      </c>
      <c r="CH247" s="59">
        <f t="shared" si="228"/>
        <v>33555732</v>
      </c>
      <c r="CI247" s="59">
        <f t="shared" si="229"/>
        <v>2181505444</v>
      </c>
      <c r="CJ247" s="59">
        <f t="shared" si="230"/>
        <v>701192842</v>
      </c>
      <c r="CK247" s="59">
        <f t="shared" si="231"/>
        <v>900219976</v>
      </c>
    </row>
    <row r="248" spans="60:89" ht="12.75" customHeight="1" x14ac:dyDescent="0.25">
      <c r="BH248" s="58">
        <f t="shared" ref="BH248:BH279" si="232">MOD(BH232+BV248+BH241+CJ248+INT((BI232+BW248+BI241+CK248)/4294967296),4294967296)</f>
        <v>3571594079</v>
      </c>
      <c r="BI248" s="58">
        <f t="shared" ref="BI248:BI279" si="233">MOD(BI232+BW248+BI241+CK248,4294967296)</f>
        <v>4170160977</v>
      </c>
      <c r="BJ248" s="59">
        <f t="shared" ref="BJ248:BJ279" si="234">MOD(INT(BH233/2^1)+MOD(BI233,2^1)*2^31,4294967296)</f>
        <v>3589978327</v>
      </c>
      <c r="BK248" s="59">
        <f t="shared" ref="BK248:BK279" si="235">MOD(INT(BI233/2^1)+MOD(BH233,2^1)*2^31,4294967296)</f>
        <v>4283632206</v>
      </c>
      <c r="BL248" s="59">
        <f t="shared" ref="BL248:BL279" si="236">MOD(INT(BH233/2^8)+MOD(BI233,2^8)*2^24,4294967296)</f>
        <v>2645292401</v>
      </c>
      <c r="BM248" s="59">
        <f t="shared" ref="BM248:BM279" si="237">MOD(INT(BI233/2^8)+MOD(BH233,2^8)*2^24,4294967296)</f>
        <v>2952701460</v>
      </c>
      <c r="BN248" s="59">
        <f t="shared" ref="BN248:BN279" si="238">INT(BH233/2^7)</f>
        <v>22538979</v>
      </c>
      <c r="BO248" s="59">
        <f t="shared" ref="BO248:BO279" si="239">MOD(INT(BI233/2^7)+MOD(BH233,2^7)*2^25,4294967296)</f>
        <v>1610435625</v>
      </c>
      <c r="BP248" s="59">
        <f t="shared" ref="BP248:BP279" si="240">((MOD(INT(MOD(INT((BJ248)/1),256)/2^0),2)*MOD(INT(MOD(INT((BL248)/1),256)/2^0),2)*1+MOD(INT(MOD(INT((BJ248)/1),256)/2^1),2)*MOD(INT(MOD(INT((BL248)/1),256)/2^1),2)*2+MOD(INT(MOD(INT((BJ248)/1),256)/2^2),2)*MOD(INT(MOD(INT((BL248)/1),256)/2^2),2)*4+MOD(INT(MOD(INT((BJ248)/1),256)/2^3),2)*MOD(INT(MOD(INT((BL248)/1),256)/2^3),2)*8+MOD(INT(MOD(INT((BJ248)/1),256)/2^4),2)*MOD(INT(MOD(INT((BL248)/1),256)/2^4),2)*16+MOD(INT(MOD(INT((BJ248)/1),256)/2^5),2)*MOD(INT(MOD(INT((BL248)/1),256)/2^5),2)*32+MOD(INT(MOD(INT((BJ248)/1),256)/2^6),2)*MOD(INT(MOD(INT((BL248)/1),256)/2^6),2)*64+MOD(INT(MOD(INT((BJ248)/1),256)/2^7),2)*MOD(INT(MOD(INT((BL248)/1),256)/2^7),2)*128)*1+(MOD(INT(MOD(INT((BJ248)/256),256)/2^0),2)*MOD(INT(MOD(INT((BL248)/256),256)/2^0),2)*1+MOD(INT(MOD(INT((BJ248)/256),256)/2^1),2)*MOD(INT(MOD(INT((BL248)/256),256)/2^1),2)*2+MOD(INT(MOD(INT((BJ248)/256),256)/2^2),2)*MOD(INT(MOD(INT((BL248)/256),256)/2^2),2)*4+MOD(INT(MOD(INT((BJ248)/256),256)/2^3),2)*MOD(INT(MOD(INT((BL248)/256),256)/2^3),2)*8+MOD(INT(MOD(INT((BJ248)/256),256)/2^4),2)*MOD(INT(MOD(INT((BL248)/256),256)/2^4),2)*16+MOD(INT(MOD(INT((BJ248)/256),256)/2^5),2)*MOD(INT(MOD(INT((BL248)/256),256)/2^5),2)*32+MOD(INT(MOD(INT((BJ248)/256),256)/2^6),2)*MOD(INT(MOD(INT((BL248)/256),256)/2^6),2)*64+MOD(INT(MOD(INT((BJ248)/256),256)/2^7),2)*MOD(INT(MOD(INT((BL248)/256),256)/2^7),2)*128)*256+(MOD(INT(MOD(INT((BJ248)/65536),256)/2^0),2)*MOD(INT(MOD(INT((BL248)/65536),256)/2^0),2)*1+MOD(INT(MOD(INT((BJ248)/65536),256)/2^1),2)*MOD(INT(MOD(INT((BL248)/65536),256)/2^1),2)*2+MOD(INT(MOD(INT((BJ248)/65536),256)/2^2),2)*MOD(INT(MOD(INT((BL248)/65536),256)/2^2),2)*4+MOD(INT(MOD(INT((BJ248)/65536),256)/2^3),2)*MOD(INT(MOD(INT((BL248)/65536),256)/2^3),2)*8+MOD(INT(MOD(INT((BJ248)/65536),256)/2^4),2)*MOD(INT(MOD(INT((BL248)/65536),256)/2^4),2)*16+MOD(INT(MOD(INT((BJ248)/65536),256)/2^5),2)*MOD(INT(MOD(INT((BL248)/65536),256)/2^5),2)*32+MOD(INT(MOD(INT((BJ248)/65536),256)/2^6),2)*MOD(INT(MOD(INT((BL248)/65536),256)/2^6),2)*64+MOD(INT(MOD(INT((BJ248)/65536),256)/2^7),2)*MOD(INT(MOD(INT((BL248)/65536),256)/2^7),2)*128)*65536+(MOD(INT(MOD(INT((BJ248)/16777216),256)/2^0),2)*MOD(INT(MOD(INT((BL248)/16777216),256)/2^0),2)*1+MOD(INT(MOD(INT((BJ248)/16777216),256)/2^1),2)*MOD(INT(MOD(INT((BL248)/16777216),256)/2^1),2)*2+MOD(INT(MOD(INT((BJ248)/16777216),256)/2^2),2)*MOD(INT(MOD(INT((BL248)/16777216),256)/2^2),2)*4+MOD(INT(MOD(INT((BJ248)/16777216),256)/2^3),2)*MOD(INT(MOD(INT((BL248)/16777216),256)/2^3),2)*8+MOD(INT(MOD(INT((BJ248)/16777216),256)/2^4),2)*MOD(INT(MOD(INT((BL248)/16777216),256)/2^4),2)*16+MOD(INT(MOD(INT((BJ248)/16777216),256)/2^5),2)*MOD(INT(MOD(INT((BL248)/16777216),256)/2^5),2)*32+MOD(INT(MOD(INT((BJ248)/16777216),256)/2^6),2)*MOD(INT(MOD(INT((BL248)/16777216),256)/2^6),2)*64+MOD(INT(MOD(INT((BJ248)/16777216),256)/2^7),2)*MOD(INT(MOD(INT((BL248)/16777216),256)/2^7),2)*128)*16777216)</f>
        <v>2510991441</v>
      </c>
      <c r="BQ248" s="59">
        <f t="shared" ref="BQ248:BQ279" si="241">((MOD(INT(MOD(INT((BK248)/1),256)/2^0),2)*MOD(INT(MOD(INT((BM248)/1),256)/2^0),2)*1+MOD(INT(MOD(INT((BK248)/1),256)/2^1),2)*MOD(INT(MOD(INT((BM248)/1),256)/2^1),2)*2+MOD(INT(MOD(INT((BK248)/1),256)/2^2),2)*MOD(INT(MOD(INT((BM248)/1),256)/2^2),2)*4+MOD(INT(MOD(INT((BK248)/1),256)/2^3),2)*MOD(INT(MOD(INT((BM248)/1),256)/2^3),2)*8+MOD(INT(MOD(INT((BK248)/1),256)/2^4),2)*MOD(INT(MOD(INT((BM248)/1),256)/2^4),2)*16+MOD(INT(MOD(INT((BK248)/1),256)/2^5),2)*MOD(INT(MOD(INT((BM248)/1),256)/2^5),2)*32+MOD(INT(MOD(INT((BK248)/1),256)/2^6),2)*MOD(INT(MOD(INT((BM248)/1),256)/2^6),2)*64+MOD(INT(MOD(INT((BK248)/1),256)/2^7),2)*MOD(INT(MOD(INT((BM248)/1),256)/2^7),2)*128)*1+(MOD(INT(MOD(INT((BK248)/256),256)/2^0),2)*MOD(INT(MOD(INT((BM248)/256),256)/2^0),2)*1+MOD(INT(MOD(INT((BK248)/256),256)/2^1),2)*MOD(INT(MOD(INT((BM248)/256),256)/2^1),2)*2+MOD(INT(MOD(INT((BK248)/256),256)/2^2),2)*MOD(INT(MOD(INT((BM248)/256),256)/2^2),2)*4+MOD(INT(MOD(INT((BK248)/256),256)/2^3),2)*MOD(INT(MOD(INT((BM248)/256),256)/2^3),2)*8+MOD(INT(MOD(INT((BK248)/256),256)/2^4),2)*MOD(INT(MOD(INT((BM248)/256),256)/2^4),2)*16+MOD(INT(MOD(INT((BK248)/256),256)/2^5),2)*MOD(INT(MOD(INT((BM248)/256),256)/2^5),2)*32+MOD(INT(MOD(INT((BK248)/256),256)/2^6),2)*MOD(INT(MOD(INT((BM248)/256),256)/2^6),2)*64+MOD(INT(MOD(INT((BK248)/256),256)/2^7),2)*MOD(INT(MOD(INT((BM248)/256),256)/2^7),2)*128)*256+(MOD(INT(MOD(INT((BK248)/65536),256)/2^0),2)*MOD(INT(MOD(INT((BM248)/65536),256)/2^0),2)*1+MOD(INT(MOD(INT((BK248)/65536),256)/2^1),2)*MOD(INT(MOD(INT((BM248)/65536),256)/2^1),2)*2+MOD(INT(MOD(INT((BK248)/65536),256)/2^2),2)*MOD(INT(MOD(INT((BM248)/65536),256)/2^2),2)*4+MOD(INT(MOD(INT((BK248)/65536),256)/2^3),2)*MOD(INT(MOD(INT((BM248)/65536),256)/2^3),2)*8+MOD(INT(MOD(INT((BK248)/65536),256)/2^4),2)*MOD(INT(MOD(INT((BM248)/65536),256)/2^4),2)*16+MOD(INT(MOD(INT((BK248)/65536),256)/2^5),2)*MOD(INT(MOD(INT((BM248)/65536),256)/2^5),2)*32+MOD(INT(MOD(INT((BK248)/65536),256)/2^6),2)*MOD(INT(MOD(INT((BM248)/65536),256)/2^6),2)*64+MOD(INT(MOD(INT((BK248)/65536),256)/2^7),2)*MOD(INT(MOD(INT((BM248)/65536),256)/2^7),2)*128)*65536+(MOD(INT(MOD(INT((BK248)/16777216),256)/2^0),2)*MOD(INT(MOD(INT((BM248)/16777216),256)/2^0),2)*1+MOD(INT(MOD(INT((BK248)/16777216),256)/2^1),2)*MOD(INT(MOD(INT((BM248)/16777216),256)/2^1),2)*2+MOD(INT(MOD(INT((BK248)/16777216),256)/2^2),2)*MOD(INT(MOD(INT((BM248)/16777216),256)/2^2),2)*4+MOD(INT(MOD(INT((BK248)/16777216),256)/2^3),2)*MOD(INT(MOD(INT((BM248)/16777216),256)/2^3),2)*8+MOD(INT(MOD(INT((BK248)/16777216),256)/2^4),2)*MOD(INT(MOD(INT((BM248)/16777216),256)/2^4),2)*16+MOD(INT(MOD(INT((BK248)/16777216),256)/2^5),2)*MOD(INT(MOD(INT((BM248)/16777216),256)/2^5),2)*32+MOD(INT(MOD(INT((BK248)/16777216),256)/2^6),2)*MOD(INT(MOD(INT((BM248)/16777216),256)/2^6),2)*64+MOD(INT(MOD(INT((BK248)/16777216),256)/2^7),2)*MOD(INT(MOD(INT((BM248)/16777216),256)/2^7),2)*128)*16777216)</f>
        <v>2941387268</v>
      </c>
      <c r="BR248" s="59">
        <f t="shared" ref="BR248:BR279" si="242">MOD(BJ248+BL248-2*BP248,4294967296)</f>
        <v>1213287846</v>
      </c>
      <c r="BS248" s="59">
        <f t="shared" ref="BS248:BS279" si="243">MOD(BK248+BM248-2*BQ248,4294967296)</f>
        <v>1353559130</v>
      </c>
      <c r="BT248" s="59">
        <f t="shared" ref="BT248:BT279" si="244">((MOD(INT(MOD(INT((BR248)/1),256)/2^0),2)*MOD(INT(MOD(INT((BN248)/1),256)/2^0),2)*1+MOD(INT(MOD(INT((BR248)/1),256)/2^1),2)*MOD(INT(MOD(INT((BN248)/1),256)/2^1),2)*2+MOD(INT(MOD(INT((BR248)/1),256)/2^2),2)*MOD(INT(MOD(INT((BN248)/1),256)/2^2),2)*4+MOD(INT(MOD(INT((BR248)/1),256)/2^3),2)*MOD(INT(MOD(INT((BN248)/1),256)/2^3),2)*8+MOD(INT(MOD(INT((BR248)/1),256)/2^4),2)*MOD(INT(MOD(INT((BN248)/1),256)/2^4),2)*16+MOD(INT(MOD(INT((BR248)/1),256)/2^5),2)*MOD(INT(MOD(INT((BN248)/1),256)/2^5),2)*32+MOD(INT(MOD(INT((BR248)/1),256)/2^6),2)*MOD(INT(MOD(INT((BN248)/1),256)/2^6),2)*64+MOD(INT(MOD(INT((BR248)/1),256)/2^7),2)*MOD(INT(MOD(INT((BN248)/1),256)/2^7),2)*128)*1+(MOD(INT(MOD(INT((BR248)/256),256)/2^0),2)*MOD(INT(MOD(INT((BN248)/256),256)/2^0),2)*1+MOD(INT(MOD(INT((BR248)/256),256)/2^1),2)*MOD(INT(MOD(INT((BN248)/256),256)/2^1),2)*2+MOD(INT(MOD(INT((BR248)/256),256)/2^2),2)*MOD(INT(MOD(INT((BN248)/256),256)/2^2),2)*4+MOD(INT(MOD(INT((BR248)/256),256)/2^3),2)*MOD(INT(MOD(INT((BN248)/256),256)/2^3),2)*8+MOD(INT(MOD(INT((BR248)/256),256)/2^4),2)*MOD(INT(MOD(INT((BN248)/256),256)/2^4),2)*16+MOD(INT(MOD(INT((BR248)/256),256)/2^5),2)*MOD(INT(MOD(INT((BN248)/256),256)/2^5),2)*32+MOD(INT(MOD(INT((BR248)/256),256)/2^6),2)*MOD(INT(MOD(INT((BN248)/256),256)/2^6),2)*64+MOD(INT(MOD(INT((BR248)/256),256)/2^7),2)*MOD(INT(MOD(INT((BN248)/256),256)/2^7),2)*128)*256+(MOD(INT(MOD(INT((BR248)/65536),256)/2^0),2)*MOD(INT(MOD(INT((BN248)/65536),256)/2^0),2)*1+MOD(INT(MOD(INT((BR248)/65536),256)/2^1),2)*MOD(INT(MOD(INT((BN248)/65536),256)/2^1),2)*2+MOD(INT(MOD(INT((BR248)/65536),256)/2^2),2)*MOD(INT(MOD(INT((BN248)/65536),256)/2^2),2)*4+MOD(INT(MOD(INT((BR248)/65536),256)/2^3),2)*MOD(INT(MOD(INT((BN248)/65536),256)/2^3),2)*8+MOD(INT(MOD(INT((BR248)/65536),256)/2^4),2)*MOD(INT(MOD(INT((BN248)/65536),256)/2^4),2)*16+MOD(INT(MOD(INT((BR248)/65536),256)/2^5),2)*MOD(INT(MOD(INT((BN248)/65536),256)/2^5),2)*32+MOD(INT(MOD(INT((BR248)/65536),256)/2^6),2)*MOD(INT(MOD(INT((BN248)/65536),256)/2^6),2)*64+MOD(INT(MOD(INT((BR248)/65536),256)/2^7),2)*MOD(INT(MOD(INT((BN248)/65536),256)/2^7),2)*128)*65536+(MOD(INT(MOD(INT((BR248)/16777216),256)/2^0),2)*MOD(INT(MOD(INT((BN248)/16777216),256)/2^0),2)*1+MOD(INT(MOD(INT((BR248)/16777216),256)/2^1),2)*MOD(INT(MOD(INT((BN248)/16777216),256)/2^1),2)*2+MOD(INT(MOD(INT((BR248)/16777216),256)/2^2),2)*MOD(INT(MOD(INT((BN248)/16777216),256)/2^2),2)*4+MOD(INT(MOD(INT((BR248)/16777216),256)/2^3),2)*MOD(INT(MOD(INT((BN248)/16777216),256)/2^3),2)*8+MOD(INT(MOD(INT((BR248)/16777216),256)/2^4),2)*MOD(INT(MOD(INT((BN248)/16777216),256)/2^4),2)*16+MOD(INT(MOD(INT((BR248)/16777216),256)/2^5),2)*MOD(INT(MOD(INT((BN248)/16777216),256)/2^5),2)*32+MOD(INT(MOD(INT((BR248)/16777216),256)/2^6),2)*MOD(INT(MOD(INT((BN248)/16777216),256)/2^6),2)*64+MOD(INT(MOD(INT((BR248)/16777216),256)/2^7),2)*MOD(INT(MOD(INT((BN248)/16777216),256)/2^7),2)*128)*16777216)</f>
        <v>5327010</v>
      </c>
      <c r="BU248" s="59">
        <f t="shared" ref="BU248:BU279" si="245">((MOD(INT(MOD(INT((BS248)/1),256)/2^0),2)*MOD(INT(MOD(INT((BO248)/1),256)/2^0),2)*1+MOD(INT(MOD(INT((BS248)/1),256)/2^1),2)*MOD(INT(MOD(INT((BO248)/1),256)/2^1),2)*2+MOD(INT(MOD(INT((BS248)/1),256)/2^2),2)*MOD(INT(MOD(INT((BO248)/1),256)/2^2),2)*4+MOD(INT(MOD(INT((BS248)/1),256)/2^3),2)*MOD(INT(MOD(INT((BO248)/1),256)/2^3),2)*8+MOD(INT(MOD(INT((BS248)/1),256)/2^4),2)*MOD(INT(MOD(INT((BO248)/1),256)/2^4),2)*16+MOD(INT(MOD(INT((BS248)/1),256)/2^5),2)*MOD(INT(MOD(INT((BO248)/1),256)/2^5),2)*32+MOD(INT(MOD(INT((BS248)/1),256)/2^6),2)*MOD(INT(MOD(INT((BO248)/1),256)/2^6),2)*64+MOD(INT(MOD(INT((BS248)/1),256)/2^7),2)*MOD(INT(MOD(INT((BO248)/1),256)/2^7),2)*128)*1+(MOD(INT(MOD(INT((BS248)/256),256)/2^0),2)*MOD(INT(MOD(INT((BO248)/256),256)/2^0),2)*1+MOD(INT(MOD(INT((BS248)/256),256)/2^1),2)*MOD(INT(MOD(INT((BO248)/256),256)/2^1),2)*2+MOD(INT(MOD(INT((BS248)/256),256)/2^2),2)*MOD(INT(MOD(INT((BO248)/256),256)/2^2),2)*4+MOD(INT(MOD(INT((BS248)/256),256)/2^3),2)*MOD(INT(MOD(INT((BO248)/256),256)/2^3),2)*8+MOD(INT(MOD(INT((BS248)/256),256)/2^4),2)*MOD(INT(MOD(INT((BO248)/256),256)/2^4),2)*16+MOD(INT(MOD(INT((BS248)/256),256)/2^5),2)*MOD(INT(MOD(INT((BO248)/256),256)/2^5),2)*32+MOD(INT(MOD(INT((BS248)/256),256)/2^6),2)*MOD(INT(MOD(INT((BO248)/256),256)/2^6),2)*64+MOD(INT(MOD(INT((BS248)/256),256)/2^7),2)*MOD(INT(MOD(INT((BO248)/256),256)/2^7),2)*128)*256+(MOD(INT(MOD(INT((BS248)/65536),256)/2^0),2)*MOD(INT(MOD(INT((BO248)/65536),256)/2^0),2)*1+MOD(INT(MOD(INT((BS248)/65536),256)/2^1),2)*MOD(INT(MOD(INT((BO248)/65536),256)/2^1),2)*2+MOD(INT(MOD(INT((BS248)/65536),256)/2^2),2)*MOD(INT(MOD(INT((BO248)/65536),256)/2^2),2)*4+MOD(INT(MOD(INT((BS248)/65536),256)/2^3),2)*MOD(INT(MOD(INT((BO248)/65536),256)/2^3),2)*8+MOD(INT(MOD(INT((BS248)/65536),256)/2^4),2)*MOD(INT(MOD(INT((BO248)/65536),256)/2^4),2)*16+MOD(INT(MOD(INT((BS248)/65536),256)/2^5),2)*MOD(INT(MOD(INT((BO248)/65536),256)/2^5),2)*32+MOD(INT(MOD(INT((BS248)/65536),256)/2^6),2)*MOD(INT(MOD(INT((BO248)/65536),256)/2^6),2)*64+MOD(INT(MOD(INT((BS248)/65536),256)/2^7),2)*MOD(INT(MOD(INT((BO248)/65536),256)/2^7),2)*128)*65536+(MOD(INT(MOD(INT((BS248)/16777216),256)/2^0),2)*MOD(INT(MOD(INT((BO248)/16777216),256)/2^0),2)*1+MOD(INT(MOD(INT((BS248)/16777216),256)/2^1),2)*MOD(INT(MOD(INT((BO248)/16777216),256)/2^1),2)*2+MOD(INT(MOD(INT((BS248)/16777216),256)/2^2),2)*MOD(INT(MOD(INT((BO248)/16777216),256)/2^2),2)*4+MOD(INT(MOD(INT((BS248)/16777216),256)/2^3),2)*MOD(INT(MOD(INT((BO248)/16777216),256)/2^3),2)*8+MOD(INT(MOD(INT((BS248)/16777216),256)/2^4),2)*MOD(INT(MOD(INT((BO248)/16777216),256)/2^4),2)*16+MOD(INT(MOD(INT((BS248)/16777216),256)/2^5),2)*MOD(INT(MOD(INT((BO248)/16777216),256)/2^5),2)*32+MOD(INT(MOD(INT((BS248)/16777216),256)/2^6),2)*MOD(INT(MOD(INT((BO248)/16777216),256)/2^6),2)*64+MOD(INT(MOD(INT((BS248)/16777216),256)/2^7),2)*MOD(INT(MOD(INT((BO248)/16777216),256)/2^7),2)*128)*16777216)</f>
        <v>1353518088</v>
      </c>
      <c r="BV248" s="59">
        <f t="shared" ref="BV248:BV279" si="246">MOD(BR248+BN248-2*BT248,4294967296)</f>
        <v>1225172805</v>
      </c>
      <c r="BW248" s="59">
        <f t="shared" ref="BW248:BW279" si="247">MOD(BS248+BO248-2*BU248,4294967296)</f>
        <v>256958579</v>
      </c>
      <c r="BX248" s="59">
        <f t="shared" ref="BX248:BX279" si="248">MOD(INT(BH246/2^19)+MOD(BI246,2^19)*2^13,4294967296)</f>
        <v>2727842266</v>
      </c>
      <c r="BY248" s="59">
        <f t="shared" ref="BY248:BY279" si="249">MOD(INT(BI246/2^19)+MOD(BH246,2^19)*2^13,4294967296)</f>
        <v>483522844</v>
      </c>
      <c r="BZ248" s="59">
        <f t="shared" ref="BZ248:BZ279" si="250">MOD(INT(BI246/2^29)+MOD(BH246,2^29)*2^3,4294967296)</f>
        <v>1988572286</v>
      </c>
      <c r="CA248" s="59">
        <f t="shared" ref="CA248:CA279" si="251">MOD(INT(BH246/2^29)+MOD(BI246,2^29)*2^3,4294967296)</f>
        <v>1193846244</v>
      </c>
      <c r="CB248" s="59">
        <f t="shared" ref="CB248:CB279" si="252">INT(BH246/2^6)</f>
        <v>37438362</v>
      </c>
      <c r="CC248" s="59">
        <f t="shared" ref="CC248:CC279" si="253">MOD(INT(BI246/2^6)+MOD(BH246,2^6)*2^26,4294967296)</f>
        <v>1059296338</v>
      </c>
      <c r="CD248" s="59">
        <f t="shared" ref="CD248:CD279" si="254">((MOD(INT(MOD(INT((BX248)/1),256)/2^0),2)*MOD(INT(MOD(INT((BZ248)/1),256)/2^0),2)*1+MOD(INT(MOD(INT((BX248)/1),256)/2^1),2)*MOD(INT(MOD(INT((BZ248)/1),256)/2^1),2)*2+MOD(INT(MOD(INT((BX248)/1),256)/2^2),2)*MOD(INT(MOD(INT((BZ248)/1),256)/2^2),2)*4+MOD(INT(MOD(INT((BX248)/1),256)/2^3),2)*MOD(INT(MOD(INT((BZ248)/1),256)/2^3),2)*8+MOD(INT(MOD(INT((BX248)/1),256)/2^4),2)*MOD(INT(MOD(INT((BZ248)/1),256)/2^4),2)*16+MOD(INT(MOD(INT((BX248)/1),256)/2^5),2)*MOD(INT(MOD(INT((BZ248)/1),256)/2^5),2)*32+MOD(INT(MOD(INT((BX248)/1),256)/2^6),2)*MOD(INT(MOD(INT((BZ248)/1),256)/2^6),2)*64+MOD(INT(MOD(INT((BX248)/1),256)/2^7),2)*MOD(INT(MOD(INT((BZ248)/1),256)/2^7),2)*128)*1+(MOD(INT(MOD(INT((BX248)/256),256)/2^0),2)*MOD(INT(MOD(INT((BZ248)/256),256)/2^0),2)*1+MOD(INT(MOD(INT((BX248)/256),256)/2^1),2)*MOD(INT(MOD(INT((BZ248)/256),256)/2^1),2)*2+MOD(INT(MOD(INT((BX248)/256),256)/2^2),2)*MOD(INT(MOD(INT((BZ248)/256),256)/2^2),2)*4+MOD(INT(MOD(INT((BX248)/256),256)/2^3),2)*MOD(INT(MOD(INT((BZ248)/256),256)/2^3),2)*8+MOD(INT(MOD(INT((BX248)/256),256)/2^4),2)*MOD(INT(MOD(INT((BZ248)/256),256)/2^4),2)*16+MOD(INT(MOD(INT((BX248)/256),256)/2^5),2)*MOD(INT(MOD(INT((BZ248)/256),256)/2^5),2)*32+MOD(INT(MOD(INT((BX248)/256),256)/2^6),2)*MOD(INT(MOD(INT((BZ248)/256),256)/2^6),2)*64+MOD(INT(MOD(INT((BX248)/256),256)/2^7),2)*MOD(INT(MOD(INT((BZ248)/256),256)/2^7),2)*128)*256+(MOD(INT(MOD(INT((BX248)/65536),256)/2^0),2)*MOD(INT(MOD(INT((BZ248)/65536),256)/2^0),2)*1+MOD(INT(MOD(INT((BX248)/65536),256)/2^1),2)*MOD(INT(MOD(INT((BZ248)/65536),256)/2^1),2)*2+MOD(INT(MOD(INT((BX248)/65536),256)/2^2),2)*MOD(INT(MOD(INT((BZ248)/65536),256)/2^2),2)*4+MOD(INT(MOD(INT((BX248)/65536),256)/2^3),2)*MOD(INT(MOD(INT((BZ248)/65536),256)/2^3),2)*8+MOD(INT(MOD(INT((BX248)/65536),256)/2^4),2)*MOD(INT(MOD(INT((BZ248)/65536),256)/2^4),2)*16+MOD(INT(MOD(INT((BX248)/65536),256)/2^5),2)*MOD(INT(MOD(INT((BZ248)/65536),256)/2^5),2)*32+MOD(INT(MOD(INT((BX248)/65536),256)/2^6),2)*MOD(INT(MOD(INT((BZ248)/65536),256)/2^6),2)*64+MOD(INT(MOD(INT((BX248)/65536),256)/2^7),2)*MOD(INT(MOD(INT((BZ248)/65536),256)/2^7),2)*128)*65536+(MOD(INT(MOD(INT((BX248)/16777216),256)/2^0),2)*MOD(INT(MOD(INT((BZ248)/16777216),256)/2^0),2)*1+MOD(INT(MOD(INT((BX248)/16777216),256)/2^1),2)*MOD(INT(MOD(INT((BZ248)/16777216),256)/2^1),2)*2+MOD(INT(MOD(INT((BX248)/16777216),256)/2^2),2)*MOD(INT(MOD(INT((BZ248)/16777216),256)/2^2),2)*4+MOD(INT(MOD(INT((BX248)/16777216),256)/2^3),2)*MOD(INT(MOD(INT((BZ248)/16777216),256)/2^3),2)*8+MOD(INT(MOD(INT((BX248)/16777216),256)/2^4),2)*MOD(INT(MOD(INT((BZ248)/16777216),256)/2^4),2)*16+MOD(INT(MOD(INT((BX248)/16777216),256)/2^5),2)*MOD(INT(MOD(INT((BZ248)/16777216),256)/2^5),2)*32+MOD(INT(MOD(INT((BX248)/16777216),256)/2^6),2)*MOD(INT(MOD(INT((BZ248)/16777216),256)/2^6),2)*64+MOD(INT(MOD(INT((BX248)/16777216),256)/2^7),2)*MOD(INT(MOD(INT((BZ248)/16777216),256)/2^7),2)*128)*16777216)</f>
        <v>579276890</v>
      </c>
      <c r="CE248" s="59">
        <f t="shared" ref="CE248:CE279" si="255">((MOD(INT(MOD(INT((BY248)/1),256)/2^0),2)*MOD(INT(MOD(INT((CA248)/1),256)/2^0),2)*1+MOD(INT(MOD(INT((BY248)/1),256)/2^1),2)*MOD(INT(MOD(INT((CA248)/1),256)/2^1),2)*2+MOD(INT(MOD(INT((BY248)/1),256)/2^2),2)*MOD(INT(MOD(INT((CA248)/1),256)/2^2),2)*4+MOD(INT(MOD(INT((BY248)/1),256)/2^3),2)*MOD(INT(MOD(INT((CA248)/1),256)/2^3),2)*8+MOD(INT(MOD(INT((BY248)/1),256)/2^4),2)*MOD(INT(MOD(INT((CA248)/1),256)/2^4),2)*16+MOD(INT(MOD(INT((BY248)/1),256)/2^5),2)*MOD(INT(MOD(INT((CA248)/1),256)/2^5),2)*32+MOD(INT(MOD(INT((BY248)/1),256)/2^6),2)*MOD(INT(MOD(INT((CA248)/1),256)/2^6),2)*64+MOD(INT(MOD(INT((BY248)/1),256)/2^7),2)*MOD(INT(MOD(INT((CA248)/1),256)/2^7),2)*128)*1+(MOD(INT(MOD(INT((BY248)/256),256)/2^0),2)*MOD(INT(MOD(INT((CA248)/256),256)/2^0),2)*1+MOD(INT(MOD(INT((BY248)/256),256)/2^1),2)*MOD(INT(MOD(INT((CA248)/256),256)/2^1),2)*2+MOD(INT(MOD(INT((BY248)/256),256)/2^2),2)*MOD(INT(MOD(INT((CA248)/256),256)/2^2),2)*4+MOD(INT(MOD(INT((BY248)/256),256)/2^3),2)*MOD(INT(MOD(INT((CA248)/256),256)/2^3),2)*8+MOD(INT(MOD(INT((BY248)/256),256)/2^4),2)*MOD(INT(MOD(INT((CA248)/256),256)/2^4),2)*16+MOD(INT(MOD(INT((BY248)/256),256)/2^5),2)*MOD(INT(MOD(INT((CA248)/256),256)/2^5),2)*32+MOD(INT(MOD(INT((BY248)/256),256)/2^6),2)*MOD(INT(MOD(INT((CA248)/256),256)/2^6),2)*64+MOD(INT(MOD(INT((BY248)/256),256)/2^7),2)*MOD(INT(MOD(INT((CA248)/256),256)/2^7),2)*128)*256+(MOD(INT(MOD(INT((BY248)/65536),256)/2^0),2)*MOD(INT(MOD(INT((CA248)/65536),256)/2^0),2)*1+MOD(INT(MOD(INT((BY248)/65536),256)/2^1),2)*MOD(INT(MOD(INT((CA248)/65536),256)/2^1),2)*2+MOD(INT(MOD(INT((BY248)/65536),256)/2^2),2)*MOD(INT(MOD(INT((CA248)/65536),256)/2^2),2)*4+MOD(INT(MOD(INT((BY248)/65536),256)/2^3),2)*MOD(INT(MOD(INT((CA248)/65536),256)/2^3),2)*8+MOD(INT(MOD(INT((BY248)/65536),256)/2^4),2)*MOD(INT(MOD(INT((CA248)/65536),256)/2^4),2)*16+MOD(INT(MOD(INT((BY248)/65536),256)/2^5),2)*MOD(INT(MOD(INT((CA248)/65536),256)/2^5),2)*32+MOD(INT(MOD(INT((BY248)/65536),256)/2^6),2)*MOD(INT(MOD(INT((CA248)/65536),256)/2^6),2)*64+MOD(INT(MOD(INT((BY248)/65536),256)/2^7),2)*MOD(INT(MOD(INT((CA248)/65536),256)/2^7),2)*128)*65536+(MOD(INT(MOD(INT((BY248)/16777216),256)/2^0),2)*MOD(INT(MOD(INT((CA248)/16777216),256)/2^0),2)*1+MOD(INT(MOD(INT((BY248)/16777216),256)/2^1),2)*MOD(INT(MOD(INT((CA248)/16777216),256)/2^1),2)*2+MOD(INT(MOD(INT((BY248)/16777216),256)/2^2),2)*MOD(INT(MOD(INT((CA248)/16777216),256)/2^2),2)*4+MOD(INT(MOD(INT((BY248)/16777216),256)/2^3),2)*MOD(INT(MOD(INT((CA248)/16777216),256)/2^3),2)*8+MOD(INT(MOD(INT((BY248)/16777216),256)/2^4),2)*MOD(INT(MOD(INT((CA248)/16777216),256)/2^4),2)*16+MOD(INT(MOD(INT((BY248)/16777216),256)/2^5),2)*MOD(INT(MOD(INT((CA248)/16777216),256)/2^5),2)*32+MOD(INT(MOD(INT((BY248)/16777216),256)/2^6),2)*MOD(INT(MOD(INT((CA248)/16777216),256)/2^6),2)*64+MOD(INT(MOD(INT((BY248)/16777216),256)/2^7),2)*MOD(INT(MOD(INT((CA248)/16777216),256)/2^7),2)*128)*16777216)</f>
        <v>67150084</v>
      </c>
      <c r="CF248" s="59">
        <f t="shared" ref="CF248:CF279" si="256">MOD(BX248+BZ248-2*CD248,4294967296)</f>
        <v>3557860772</v>
      </c>
      <c r="CG248" s="59">
        <f t="shared" ref="CG248:CG279" si="257">MOD(BY248+CA248-2*CE248,4294967296)</f>
        <v>1543068920</v>
      </c>
      <c r="CH248" s="59">
        <f t="shared" ref="CH248:CH279" si="258">((MOD(INT(MOD(INT((CF248)/1),256)/2^0),2)*MOD(INT(MOD(INT((CB248)/1),256)/2^0),2)*1+MOD(INT(MOD(INT((CF248)/1),256)/2^1),2)*MOD(INT(MOD(INT((CB248)/1),256)/2^1),2)*2+MOD(INT(MOD(INT((CF248)/1),256)/2^2),2)*MOD(INT(MOD(INT((CB248)/1),256)/2^2),2)*4+MOD(INT(MOD(INT((CF248)/1),256)/2^3),2)*MOD(INT(MOD(INT((CB248)/1),256)/2^3),2)*8+MOD(INT(MOD(INT((CF248)/1),256)/2^4),2)*MOD(INT(MOD(INT((CB248)/1),256)/2^4),2)*16+MOD(INT(MOD(INT((CF248)/1),256)/2^5),2)*MOD(INT(MOD(INT((CB248)/1),256)/2^5),2)*32+MOD(INT(MOD(INT((CF248)/1),256)/2^6),2)*MOD(INT(MOD(INT((CB248)/1),256)/2^6),2)*64+MOD(INT(MOD(INT((CF248)/1),256)/2^7),2)*MOD(INT(MOD(INT((CB248)/1),256)/2^7),2)*128)*1+(MOD(INT(MOD(INT((CF248)/256),256)/2^0),2)*MOD(INT(MOD(INT((CB248)/256),256)/2^0),2)*1+MOD(INT(MOD(INT((CF248)/256),256)/2^1),2)*MOD(INT(MOD(INT((CB248)/256),256)/2^1),2)*2+MOD(INT(MOD(INT((CF248)/256),256)/2^2),2)*MOD(INT(MOD(INT((CB248)/256),256)/2^2),2)*4+MOD(INT(MOD(INT((CF248)/256),256)/2^3),2)*MOD(INT(MOD(INT((CB248)/256),256)/2^3),2)*8+MOD(INT(MOD(INT((CF248)/256),256)/2^4),2)*MOD(INT(MOD(INT((CB248)/256),256)/2^4),2)*16+MOD(INT(MOD(INT((CF248)/256),256)/2^5),2)*MOD(INT(MOD(INT((CB248)/256),256)/2^5),2)*32+MOD(INT(MOD(INT((CF248)/256),256)/2^6),2)*MOD(INT(MOD(INT((CB248)/256),256)/2^6),2)*64+MOD(INT(MOD(INT((CF248)/256),256)/2^7),2)*MOD(INT(MOD(INT((CB248)/256),256)/2^7),2)*128)*256+(MOD(INT(MOD(INT((CF248)/65536),256)/2^0),2)*MOD(INT(MOD(INT((CB248)/65536),256)/2^0),2)*1+MOD(INT(MOD(INT((CF248)/65536),256)/2^1),2)*MOD(INT(MOD(INT((CB248)/65536),256)/2^1),2)*2+MOD(INT(MOD(INT((CF248)/65536),256)/2^2),2)*MOD(INT(MOD(INT((CB248)/65536),256)/2^2),2)*4+MOD(INT(MOD(INT((CF248)/65536),256)/2^3),2)*MOD(INT(MOD(INT((CB248)/65536),256)/2^3),2)*8+MOD(INT(MOD(INT((CF248)/65536),256)/2^4),2)*MOD(INT(MOD(INT((CB248)/65536),256)/2^4),2)*16+MOD(INT(MOD(INT((CF248)/65536),256)/2^5),2)*MOD(INT(MOD(INT((CB248)/65536),256)/2^5),2)*32+MOD(INT(MOD(INT((CF248)/65536),256)/2^6),2)*MOD(INT(MOD(INT((CB248)/65536),256)/2^6),2)*64+MOD(INT(MOD(INT((CF248)/65536),256)/2^7),2)*MOD(INT(MOD(INT((CB248)/65536),256)/2^7),2)*128)*65536+(MOD(INT(MOD(INT((CF248)/16777216),256)/2^0),2)*MOD(INT(MOD(INT((CB248)/16777216),256)/2^0),2)*1+MOD(INT(MOD(INT((CF248)/16777216),256)/2^1),2)*MOD(INT(MOD(INT((CB248)/16777216),256)/2^1),2)*2+MOD(INT(MOD(INT((CF248)/16777216),256)/2^2),2)*MOD(INT(MOD(INT((CB248)/16777216),256)/2^2),2)*4+MOD(INT(MOD(INT((CF248)/16777216),256)/2^3),2)*MOD(INT(MOD(INT((CB248)/16777216),256)/2^3),2)*8+MOD(INT(MOD(INT((CF248)/16777216),256)/2^4),2)*MOD(INT(MOD(INT((CB248)/16777216),256)/2^4),2)*16+MOD(INT(MOD(INT((CF248)/16777216),256)/2^5),2)*MOD(INT(MOD(INT((CB248)/16777216),256)/2^5),2)*32+MOD(INT(MOD(INT((CF248)/16777216),256)/2^6),2)*MOD(INT(MOD(INT((CB248)/16777216),256)/2^6),2)*64+MOD(INT(MOD(INT((CF248)/16777216),256)/2^7),2)*MOD(INT(MOD(INT((CB248)/16777216),256)/2^7),2)*128)*16777216)</f>
        <v>1048960</v>
      </c>
      <c r="CI248" s="59">
        <f t="shared" ref="CI248:CI279" si="259">((MOD(INT(MOD(INT((CG248)/1),256)/2^0),2)*MOD(INT(MOD(INT((CC248)/1),256)/2^0),2)*1+MOD(INT(MOD(INT((CG248)/1),256)/2^1),2)*MOD(INT(MOD(INT((CC248)/1),256)/2^1),2)*2+MOD(INT(MOD(INT((CG248)/1),256)/2^2),2)*MOD(INT(MOD(INT((CC248)/1),256)/2^2),2)*4+MOD(INT(MOD(INT((CG248)/1),256)/2^3),2)*MOD(INT(MOD(INT((CC248)/1),256)/2^3),2)*8+MOD(INT(MOD(INT((CG248)/1),256)/2^4),2)*MOD(INT(MOD(INT((CC248)/1),256)/2^4),2)*16+MOD(INT(MOD(INT((CG248)/1),256)/2^5),2)*MOD(INT(MOD(INT((CC248)/1),256)/2^5),2)*32+MOD(INT(MOD(INT((CG248)/1),256)/2^6),2)*MOD(INT(MOD(INT((CC248)/1),256)/2^6),2)*64+MOD(INT(MOD(INT((CG248)/1),256)/2^7),2)*MOD(INT(MOD(INT((CC248)/1),256)/2^7),2)*128)*1+(MOD(INT(MOD(INT((CG248)/256),256)/2^0),2)*MOD(INT(MOD(INT((CC248)/256),256)/2^0),2)*1+MOD(INT(MOD(INT((CG248)/256),256)/2^1),2)*MOD(INT(MOD(INT((CC248)/256),256)/2^1),2)*2+MOD(INT(MOD(INT((CG248)/256),256)/2^2),2)*MOD(INT(MOD(INT((CC248)/256),256)/2^2),2)*4+MOD(INT(MOD(INT((CG248)/256),256)/2^3),2)*MOD(INT(MOD(INT((CC248)/256),256)/2^3),2)*8+MOD(INT(MOD(INT((CG248)/256),256)/2^4),2)*MOD(INT(MOD(INT((CC248)/256),256)/2^4),2)*16+MOD(INT(MOD(INT((CG248)/256),256)/2^5),2)*MOD(INT(MOD(INT((CC248)/256),256)/2^5),2)*32+MOD(INT(MOD(INT((CG248)/256),256)/2^6),2)*MOD(INT(MOD(INT((CC248)/256),256)/2^6),2)*64+MOD(INT(MOD(INT((CG248)/256),256)/2^7),2)*MOD(INT(MOD(INT((CC248)/256),256)/2^7),2)*128)*256+(MOD(INT(MOD(INT((CG248)/65536),256)/2^0),2)*MOD(INT(MOD(INT((CC248)/65536),256)/2^0),2)*1+MOD(INT(MOD(INT((CG248)/65536),256)/2^1),2)*MOD(INT(MOD(INT((CC248)/65536),256)/2^1),2)*2+MOD(INT(MOD(INT((CG248)/65536),256)/2^2),2)*MOD(INT(MOD(INT((CC248)/65536),256)/2^2),2)*4+MOD(INT(MOD(INT((CG248)/65536),256)/2^3),2)*MOD(INT(MOD(INT((CC248)/65536),256)/2^3),2)*8+MOD(INT(MOD(INT((CG248)/65536),256)/2^4),2)*MOD(INT(MOD(INT((CC248)/65536),256)/2^4),2)*16+MOD(INT(MOD(INT((CG248)/65536),256)/2^5),2)*MOD(INT(MOD(INT((CC248)/65536),256)/2^5),2)*32+MOD(INT(MOD(INT((CG248)/65536),256)/2^6),2)*MOD(INT(MOD(INT((CC248)/65536),256)/2^6),2)*64+MOD(INT(MOD(INT((CG248)/65536),256)/2^7),2)*MOD(INT(MOD(INT((CC248)/65536),256)/2^7),2)*128)*65536+(MOD(INT(MOD(INT((CG248)/16777216),256)/2^0),2)*MOD(INT(MOD(INT((CC248)/16777216),256)/2^0),2)*1+MOD(INT(MOD(INT((CG248)/16777216),256)/2^1),2)*MOD(INT(MOD(INT((CC248)/16777216),256)/2^1),2)*2+MOD(INT(MOD(INT((CG248)/16777216),256)/2^2),2)*MOD(INT(MOD(INT((CC248)/16777216),256)/2^2),2)*4+MOD(INT(MOD(INT((CG248)/16777216),256)/2^3),2)*MOD(INT(MOD(INT((CC248)/16777216),256)/2^3),2)*8+MOD(INT(MOD(INT((CG248)/16777216),256)/2^4),2)*MOD(INT(MOD(INT((CC248)/16777216),256)/2^4),2)*16+MOD(INT(MOD(INT((CG248)/16777216),256)/2^5),2)*MOD(INT(MOD(INT((CC248)/16777216),256)/2^5),2)*32+MOD(INT(MOD(INT((CG248)/16777216),256)/2^6),2)*MOD(INT(MOD(INT((CC248)/16777216),256)/2^6),2)*64+MOD(INT(MOD(INT((CG248)/16777216),256)/2^7),2)*MOD(INT(MOD(INT((CC248)/16777216),256)/2^7),2)*128)*16777216)</f>
        <v>455152720</v>
      </c>
      <c r="CJ248" s="59">
        <f t="shared" ref="CJ248:CJ279" si="260">MOD(CF248+CB248-2*CH248,4294967296)</f>
        <v>3593201214</v>
      </c>
      <c r="CK248" s="59">
        <f t="shared" ref="CK248:CK279" si="261">MOD(CG248+CC248-2*CI248,4294967296)</f>
        <v>1692059818</v>
      </c>
    </row>
    <row r="249" spans="60:89" ht="12.75" customHeight="1" x14ac:dyDescent="0.25">
      <c r="BH249" s="58">
        <f t="shared" si="232"/>
        <v>1021353411</v>
      </c>
      <c r="BI249" s="58">
        <f t="shared" si="233"/>
        <v>3165789441</v>
      </c>
      <c r="BJ249" s="59">
        <f t="shared" si="234"/>
        <v>2054656919</v>
      </c>
      <c r="BK249" s="59">
        <f t="shared" si="235"/>
        <v>817232132</v>
      </c>
      <c r="BL249" s="59">
        <f t="shared" si="236"/>
        <v>150269735</v>
      </c>
      <c r="BM249" s="59">
        <f t="shared" si="237"/>
        <v>778136562</v>
      </c>
      <c r="BN249" s="59">
        <f t="shared" si="238"/>
        <v>32104014</v>
      </c>
      <c r="BO249" s="59">
        <f t="shared" si="239"/>
        <v>1556273124</v>
      </c>
      <c r="BP249" s="59">
        <f t="shared" si="240"/>
        <v>141853447</v>
      </c>
      <c r="BQ249" s="59">
        <f t="shared" si="241"/>
        <v>539060480</v>
      </c>
      <c r="BR249" s="59">
        <f t="shared" si="242"/>
        <v>1921219760</v>
      </c>
      <c r="BS249" s="59">
        <f t="shared" si="243"/>
        <v>517247734</v>
      </c>
      <c r="BT249" s="59">
        <f t="shared" si="244"/>
        <v>8477696</v>
      </c>
      <c r="BU249" s="59">
        <f t="shared" si="245"/>
        <v>482382564</v>
      </c>
      <c r="BV249" s="59">
        <f t="shared" si="246"/>
        <v>1936368382</v>
      </c>
      <c r="BW249" s="59">
        <f t="shared" si="247"/>
        <v>1108755730</v>
      </c>
      <c r="BX249" s="59">
        <f t="shared" si="248"/>
        <v>4015677179</v>
      </c>
      <c r="BY249" s="59">
        <f t="shared" si="249"/>
        <v>1399328616</v>
      </c>
      <c r="BZ249" s="59">
        <f t="shared" si="250"/>
        <v>3201620483</v>
      </c>
      <c r="CA249" s="59">
        <f t="shared" si="251"/>
        <v>3661354647</v>
      </c>
      <c r="CB249" s="59">
        <f t="shared" si="252"/>
        <v>64973421</v>
      </c>
      <c r="CC249" s="59">
        <f t="shared" si="253"/>
        <v>32316907</v>
      </c>
      <c r="CD249" s="59">
        <f t="shared" si="254"/>
        <v>2924501507</v>
      </c>
      <c r="CE249" s="59">
        <f t="shared" si="255"/>
        <v>1378354688</v>
      </c>
      <c r="CF249" s="59">
        <f t="shared" si="256"/>
        <v>1368294648</v>
      </c>
      <c r="CG249" s="59">
        <f t="shared" si="257"/>
        <v>2303973887</v>
      </c>
      <c r="CH249" s="59">
        <f t="shared" si="258"/>
        <v>26083432</v>
      </c>
      <c r="CI249" s="59">
        <f t="shared" si="259"/>
        <v>21043691</v>
      </c>
      <c r="CJ249" s="59">
        <f t="shared" si="260"/>
        <v>1381101205</v>
      </c>
      <c r="CK249" s="59">
        <f t="shared" si="261"/>
        <v>2294203412</v>
      </c>
    </row>
    <row r="250" spans="60:89" ht="12.75" customHeight="1" x14ac:dyDescent="0.25">
      <c r="BH250" s="58">
        <f t="shared" si="232"/>
        <v>1859331690</v>
      </c>
      <c r="BI250" s="58">
        <f t="shared" si="233"/>
        <v>2909519106</v>
      </c>
      <c r="BJ250" s="59">
        <f t="shared" si="234"/>
        <v>2324434847</v>
      </c>
      <c r="BK250" s="59">
        <f t="shared" si="235"/>
        <v>494111210</v>
      </c>
      <c r="BL250" s="59">
        <f t="shared" si="236"/>
        <v>3574929439</v>
      </c>
      <c r="BM250" s="59">
        <f t="shared" si="237"/>
        <v>1044047635</v>
      </c>
      <c r="BN250" s="59">
        <f t="shared" si="238"/>
        <v>2764862</v>
      </c>
      <c r="BO250" s="59">
        <f t="shared" si="239"/>
        <v>2088095271</v>
      </c>
      <c r="BP250" s="59">
        <f t="shared" si="240"/>
        <v>2147747871</v>
      </c>
      <c r="BQ250" s="59">
        <f t="shared" si="241"/>
        <v>473071874</v>
      </c>
      <c r="BR250" s="59">
        <f t="shared" si="242"/>
        <v>1603868544</v>
      </c>
      <c r="BS250" s="59">
        <f t="shared" si="243"/>
        <v>592015097</v>
      </c>
      <c r="BT250" s="59">
        <f t="shared" si="244"/>
        <v>528384</v>
      </c>
      <c r="BU250" s="59">
        <f t="shared" si="245"/>
        <v>541150753</v>
      </c>
      <c r="BV250" s="59">
        <f t="shared" si="246"/>
        <v>1605576638</v>
      </c>
      <c r="BW250" s="59">
        <f t="shared" si="247"/>
        <v>1597808862</v>
      </c>
      <c r="BX250" s="59">
        <f t="shared" si="248"/>
        <v>4083825308</v>
      </c>
      <c r="BY250" s="59">
        <f t="shared" si="249"/>
        <v>1181482769</v>
      </c>
      <c r="BZ250" s="59">
        <f t="shared" si="250"/>
        <v>2802948863</v>
      </c>
      <c r="CA250" s="59">
        <f t="shared" si="251"/>
        <v>3296516750</v>
      </c>
      <c r="CB250" s="59">
        <f t="shared" si="252"/>
        <v>55806157</v>
      </c>
      <c r="CC250" s="59">
        <f t="shared" si="253"/>
        <v>2145533549</v>
      </c>
      <c r="CD250" s="59">
        <f t="shared" si="254"/>
        <v>2734693020</v>
      </c>
      <c r="CE250" s="59">
        <f t="shared" si="255"/>
        <v>1147722240</v>
      </c>
      <c r="CF250" s="59">
        <f t="shared" si="256"/>
        <v>1417388131</v>
      </c>
      <c r="CG250" s="59">
        <f t="shared" si="257"/>
        <v>2182555039</v>
      </c>
      <c r="CH250" s="59">
        <f t="shared" si="258"/>
        <v>5472321</v>
      </c>
      <c r="CI250" s="59">
        <f t="shared" si="259"/>
        <v>33694733</v>
      </c>
      <c r="CJ250" s="59">
        <f t="shared" si="260"/>
        <v>1462249646</v>
      </c>
      <c r="CK250" s="59">
        <f t="shared" si="261"/>
        <v>4260699122</v>
      </c>
    </row>
    <row r="251" spans="60:89" ht="12.75" customHeight="1" x14ac:dyDescent="0.25">
      <c r="BH251" s="58">
        <f t="shared" si="232"/>
        <v>3791696599</v>
      </c>
      <c r="BI251" s="58">
        <f t="shared" si="233"/>
        <v>128271238</v>
      </c>
      <c r="BJ251" s="59">
        <f t="shared" si="234"/>
        <v>2879161536</v>
      </c>
      <c r="BK251" s="59">
        <f t="shared" si="235"/>
        <v>4226210023</v>
      </c>
      <c r="BL251" s="59">
        <f t="shared" si="236"/>
        <v>3478599945</v>
      </c>
      <c r="BM251" s="59">
        <f t="shared" si="237"/>
        <v>2180500913</v>
      </c>
      <c r="BN251" s="59">
        <f t="shared" si="238"/>
        <v>11432467</v>
      </c>
      <c r="BO251" s="59">
        <f t="shared" si="239"/>
        <v>66034531</v>
      </c>
      <c r="BP251" s="59">
        <f t="shared" si="240"/>
        <v>2333343744</v>
      </c>
      <c r="BQ251" s="59">
        <f t="shared" si="241"/>
        <v>2179385505</v>
      </c>
      <c r="BR251" s="59">
        <f t="shared" si="242"/>
        <v>1691073993</v>
      </c>
      <c r="BS251" s="59">
        <f t="shared" si="243"/>
        <v>2047939926</v>
      </c>
      <c r="BT251" s="59">
        <f t="shared" si="244"/>
        <v>9056257</v>
      </c>
      <c r="BU251" s="59">
        <f t="shared" si="245"/>
        <v>33624386</v>
      </c>
      <c r="BV251" s="59">
        <f t="shared" si="246"/>
        <v>1684393946</v>
      </c>
      <c r="BW251" s="59">
        <f t="shared" si="247"/>
        <v>2046725685</v>
      </c>
      <c r="BX251" s="59">
        <f t="shared" si="248"/>
        <v>1134569372</v>
      </c>
      <c r="BY251" s="59">
        <f t="shared" si="249"/>
        <v>330856342</v>
      </c>
      <c r="BZ251" s="59">
        <f t="shared" si="250"/>
        <v>3875859997</v>
      </c>
      <c r="CA251" s="59">
        <f t="shared" si="251"/>
        <v>3851479049</v>
      </c>
      <c r="CB251" s="59">
        <f t="shared" si="252"/>
        <v>15958647</v>
      </c>
      <c r="CC251" s="59">
        <f t="shared" si="253"/>
        <v>250792052</v>
      </c>
      <c r="CD251" s="59">
        <f t="shared" si="254"/>
        <v>1124083228</v>
      </c>
      <c r="CE251" s="59">
        <f t="shared" si="255"/>
        <v>26238976</v>
      </c>
      <c r="CF251" s="59">
        <f t="shared" si="256"/>
        <v>2762262913</v>
      </c>
      <c r="CG251" s="59">
        <f t="shared" si="257"/>
        <v>4129857439</v>
      </c>
      <c r="CH251" s="59">
        <f t="shared" si="258"/>
        <v>10518529</v>
      </c>
      <c r="CI251" s="59">
        <f t="shared" si="259"/>
        <v>102795284</v>
      </c>
      <c r="CJ251" s="59">
        <f t="shared" si="260"/>
        <v>2757184502</v>
      </c>
      <c r="CK251" s="59">
        <f t="shared" si="261"/>
        <v>4175058923</v>
      </c>
    </row>
    <row r="252" spans="60:89" ht="12.75" customHeight="1" x14ac:dyDescent="0.25">
      <c r="BH252" s="58">
        <f t="shared" si="232"/>
        <v>1566104381</v>
      </c>
      <c r="BI252" s="58">
        <f t="shared" si="233"/>
        <v>3102513716</v>
      </c>
      <c r="BJ252" s="59">
        <f t="shared" si="234"/>
        <v>314058866</v>
      </c>
      <c r="BK252" s="59">
        <f t="shared" si="235"/>
        <v>1996645563</v>
      </c>
      <c r="BL252" s="59">
        <f t="shared" si="236"/>
        <v>1982165072</v>
      </c>
      <c r="BM252" s="59">
        <f t="shared" si="237"/>
        <v>3840804041</v>
      </c>
      <c r="BN252" s="59">
        <f t="shared" si="238"/>
        <v>4907169</v>
      </c>
      <c r="BO252" s="59">
        <f t="shared" si="239"/>
        <v>3386640786</v>
      </c>
      <c r="BP252" s="59">
        <f t="shared" si="240"/>
        <v>304095312</v>
      </c>
      <c r="BQ252" s="59">
        <f t="shared" si="241"/>
        <v>1677853833</v>
      </c>
      <c r="BR252" s="59">
        <f t="shared" si="242"/>
        <v>1688033314</v>
      </c>
      <c r="BS252" s="59">
        <f t="shared" si="243"/>
        <v>2481741938</v>
      </c>
      <c r="BT252" s="59">
        <f t="shared" si="244"/>
        <v>540704</v>
      </c>
      <c r="BU252" s="59">
        <f t="shared" si="245"/>
        <v>2177630226</v>
      </c>
      <c r="BV252" s="59">
        <f t="shared" si="246"/>
        <v>1691859075</v>
      </c>
      <c r="BW252" s="59">
        <f t="shared" si="247"/>
        <v>1513122272</v>
      </c>
      <c r="BX252" s="59">
        <f t="shared" si="248"/>
        <v>2006994394</v>
      </c>
      <c r="BY252" s="59">
        <f t="shared" si="249"/>
        <v>1691178413</v>
      </c>
      <c r="BZ252" s="59">
        <f t="shared" si="250"/>
        <v>1989751637</v>
      </c>
      <c r="CA252" s="59">
        <f t="shared" si="251"/>
        <v>1801316371</v>
      </c>
      <c r="CB252" s="59">
        <f t="shared" si="252"/>
        <v>29052057</v>
      </c>
      <c r="CC252" s="59">
        <f t="shared" si="253"/>
        <v>2864033524</v>
      </c>
      <c r="CD252" s="59">
        <f t="shared" si="254"/>
        <v>1988100432</v>
      </c>
      <c r="CE252" s="59">
        <f t="shared" si="255"/>
        <v>1615675393</v>
      </c>
      <c r="CF252" s="59">
        <f t="shared" si="256"/>
        <v>20545167</v>
      </c>
      <c r="CG252" s="59">
        <f t="shared" si="257"/>
        <v>261143998</v>
      </c>
      <c r="CH252" s="59">
        <f t="shared" si="258"/>
        <v>20532361</v>
      </c>
      <c r="CI252" s="59">
        <f t="shared" si="259"/>
        <v>177253556</v>
      </c>
      <c r="CJ252" s="59">
        <f t="shared" si="260"/>
        <v>8532502</v>
      </c>
      <c r="CK252" s="59">
        <f t="shared" si="261"/>
        <v>2770670410</v>
      </c>
    </row>
    <row r="253" spans="60:89" ht="12.75" customHeight="1" x14ac:dyDescent="0.25">
      <c r="BH253" s="58">
        <f t="shared" si="232"/>
        <v>3185608783</v>
      </c>
      <c r="BI253" s="58">
        <f t="shared" si="233"/>
        <v>3722683398</v>
      </c>
      <c r="BJ253" s="59">
        <f t="shared" si="234"/>
        <v>2890641665</v>
      </c>
      <c r="BK253" s="59">
        <f t="shared" si="235"/>
        <v>2859886960</v>
      </c>
      <c r="BL253" s="59">
        <f t="shared" si="236"/>
        <v>3780679522</v>
      </c>
      <c r="BM253" s="59">
        <f t="shared" si="237"/>
        <v>55897298</v>
      </c>
      <c r="BN253" s="59">
        <f t="shared" si="238"/>
        <v>11611844</v>
      </c>
      <c r="BO253" s="59">
        <f t="shared" si="239"/>
        <v>111794597</v>
      </c>
      <c r="BP253" s="59">
        <f t="shared" si="240"/>
        <v>2689110272</v>
      </c>
      <c r="BQ253" s="59">
        <f t="shared" si="241"/>
        <v>39086160</v>
      </c>
      <c r="BR253" s="59">
        <f t="shared" si="242"/>
        <v>1293100643</v>
      </c>
      <c r="BS253" s="59">
        <f t="shared" si="243"/>
        <v>2837611938</v>
      </c>
      <c r="BT253" s="59">
        <f t="shared" si="244"/>
        <v>1123904</v>
      </c>
      <c r="BU253" s="59">
        <f t="shared" si="245"/>
        <v>2130336</v>
      </c>
      <c r="BV253" s="59">
        <f t="shared" si="246"/>
        <v>1302464679</v>
      </c>
      <c r="BW253" s="59">
        <f t="shared" si="247"/>
        <v>2945145863</v>
      </c>
      <c r="BX253" s="59">
        <f t="shared" si="248"/>
        <v>2825968704</v>
      </c>
      <c r="BY253" s="59">
        <f t="shared" si="249"/>
        <v>375054580</v>
      </c>
      <c r="BZ253" s="59">
        <f t="shared" si="250"/>
        <v>268801720</v>
      </c>
      <c r="CA253" s="59">
        <f t="shared" si="251"/>
        <v>1026169911</v>
      </c>
      <c r="CB253" s="59">
        <f t="shared" si="252"/>
        <v>59245259</v>
      </c>
      <c r="CC253" s="59">
        <f t="shared" si="253"/>
        <v>1545508110</v>
      </c>
      <c r="CD253" s="59">
        <f t="shared" si="254"/>
        <v>37888</v>
      </c>
      <c r="CE253" s="59">
        <f t="shared" si="255"/>
        <v>336199732</v>
      </c>
      <c r="CF253" s="59">
        <f t="shared" si="256"/>
        <v>3094694648</v>
      </c>
      <c r="CG253" s="59">
        <f t="shared" si="257"/>
        <v>728825027</v>
      </c>
      <c r="CH253" s="59">
        <f t="shared" si="258"/>
        <v>712</v>
      </c>
      <c r="CI253" s="59">
        <f t="shared" si="259"/>
        <v>135304194</v>
      </c>
      <c r="CJ253" s="59">
        <f t="shared" si="260"/>
        <v>3153938483</v>
      </c>
      <c r="CK253" s="59">
        <f t="shared" si="261"/>
        <v>2003724749</v>
      </c>
    </row>
    <row r="254" spans="60:89" ht="12.75" customHeight="1" x14ac:dyDescent="0.25">
      <c r="BH254" s="58">
        <f t="shared" si="232"/>
        <v>2729630740</v>
      </c>
      <c r="BI254" s="58">
        <f t="shared" si="233"/>
        <v>3373716079</v>
      </c>
      <c r="BJ254" s="59">
        <f t="shared" si="234"/>
        <v>421388770</v>
      </c>
      <c r="BK254" s="59">
        <f t="shared" si="235"/>
        <v>2164768352</v>
      </c>
      <c r="BL254" s="59">
        <f t="shared" si="236"/>
        <v>3224517571</v>
      </c>
      <c r="BM254" s="59">
        <f t="shared" si="237"/>
        <v>3305246588</v>
      </c>
      <c r="BN254" s="59">
        <f t="shared" si="238"/>
        <v>6584199</v>
      </c>
      <c r="BO254" s="59">
        <f t="shared" si="239"/>
        <v>2315525881</v>
      </c>
      <c r="BP254" s="59">
        <f t="shared" si="240"/>
        <v>1057218</v>
      </c>
      <c r="BQ254" s="59">
        <f t="shared" si="241"/>
        <v>2164395616</v>
      </c>
      <c r="BR254" s="59">
        <f t="shared" si="242"/>
        <v>3643791905</v>
      </c>
      <c r="BS254" s="59">
        <f t="shared" si="243"/>
        <v>1141223708</v>
      </c>
      <c r="BT254" s="59">
        <f t="shared" si="244"/>
        <v>2380289</v>
      </c>
      <c r="BU254" s="59">
        <f t="shared" si="245"/>
        <v>266264</v>
      </c>
      <c r="BV254" s="59">
        <f t="shared" si="246"/>
        <v>3645615526</v>
      </c>
      <c r="BW254" s="59">
        <f t="shared" si="247"/>
        <v>3456217061</v>
      </c>
      <c r="BX254" s="59">
        <f t="shared" si="248"/>
        <v>2470874027</v>
      </c>
      <c r="BY254" s="59">
        <f t="shared" si="249"/>
        <v>459781917</v>
      </c>
      <c r="BZ254" s="59">
        <f t="shared" si="250"/>
        <v>3938900461</v>
      </c>
      <c r="CA254" s="59">
        <f t="shared" si="251"/>
        <v>3345273250</v>
      </c>
      <c r="CB254" s="59">
        <f t="shared" si="252"/>
        <v>24470380</v>
      </c>
      <c r="CC254" s="59">
        <f t="shared" si="253"/>
        <v>4142117480</v>
      </c>
      <c r="CD254" s="59">
        <f t="shared" si="254"/>
        <v>2185660841</v>
      </c>
      <c r="CE254" s="59">
        <f t="shared" si="255"/>
        <v>56922368</v>
      </c>
      <c r="CF254" s="59">
        <f t="shared" si="256"/>
        <v>2038452806</v>
      </c>
      <c r="CG254" s="59">
        <f t="shared" si="257"/>
        <v>3691210431</v>
      </c>
      <c r="CH254" s="59">
        <f t="shared" si="258"/>
        <v>16794180</v>
      </c>
      <c r="CI254" s="59">
        <f t="shared" si="259"/>
        <v>3556975144</v>
      </c>
      <c r="CJ254" s="59">
        <f t="shared" si="260"/>
        <v>2029334826</v>
      </c>
      <c r="CK254" s="59">
        <f t="shared" si="261"/>
        <v>719377623</v>
      </c>
    </row>
    <row r="255" spans="60:89" ht="12.75" customHeight="1" x14ac:dyDescent="0.25">
      <c r="BH255" s="58">
        <f t="shared" si="232"/>
        <v>951733118</v>
      </c>
      <c r="BI255" s="58">
        <f t="shared" si="233"/>
        <v>1294286115</v>
      </c>
      <c r="BJ255" s="59">
        <f t="shared" si="234"/>
        <v>4094778284</v>
      </c>
      <c r="BK255" s="59">
        <f t="shared" si="235"/>
        <v>2016567990</v>
      </c>
      <c r="BL255" s="59">
        <f t="shared" si="236"/>
        <v>1843929783</v>
      </c>
      <c r="BM255" s="59">
        <f t="shared" si="237"/>
        <v>1492149445</v>
      </c>
      <c r="BN255" s="59">
        <f t="shared" si="238"/>
        <v>30426478</v>
      </c>
      <c r="BO255" s="59">
        <f t="shared" si="239"/>
        <v>2984298890</v>
      </c>
      <c r="BP255" s="59">
        <f t="shared" si="240"/>
        <v>1677722276</v>
      </c>
      <c r="BQ255" s="59">
        <f t="shared" si="241"/>
        <v>1479565444</v>
      </c>
      <c r="BR255" s="59">
        <f t="shared" si="242"/>
        <v>2583263515</v>
      </c>
      <c r="BS255" s="59">
        <f t="shared" si="243"/>
        <v>549586547</v>
      </c>
      <c r="BT255" s="59">
        <f t="shared" si="244"/>
        <v>30425354</v>
      </c>
      <c r="BU255" s="59">
        <f t="shared" si="245"/>
        <v>549453826</v>
      </c>
      <c r="BV255" s="59">
        <f t="shared" si="246"/>
        <v>2552839285</v>
      </c>
      <c r="BW255" s="59">
        <f t="shared" si="247"/>
        <v>2434977785</v>
      </c>
      <c r="BX255" s="59">
        <f t="shared" si="248"/>
        <v>1954600892</v>
      </c>
      <c r="BY255" s="59">
        <f t="shared" si="249"/>
        <v>285866940</v>
      </c>
      <c r="BZ255" s="59">
        <f t="shared" si="250"/>
        <v>4010033790</v>
      </c>
      <c r="CA255" s="59">
        <f t="shared" si="251"/>
        <v>4011663413</v>
      </c>
      <c r="CB255" s="59">
        <f t="shared" si="252"/>
        <v>49775137</v>
      </c>
      <c r="CC255" s="59">
        <f t="shared" si="253"/>
        <v>1064799888</v>
      </c>
      <c r="CD255" s="59">
        <f t="shared" si="254"/>
        <v>1677738556</v>
      </c>
      <c r="CE255" s="59">
        <f t="shared" si="255"/>
        <v>17375284</v>
      </c>
      <c r="CF255" s="59">
        <f t="shared" si="256"/>
        <v>2609157570</v>
      </c>
      <c r="CG255" s="59">
        <f t="shared" si="257"/>
        <v>4262779785</v>
      </c>
      <c r="CH255" s="59">
        <f t="shared" si="258"/>
        <v>42237952</v>
      </c>
      <c r="CI255" s="59">
        <f t="shared" si="259"/>
        <v>1041533568</v>
      </c>
      <c r="CJ255" s="59">
        <f t="shared" si="260"/>
        <v>2574456803</v>
      </c>
      <c r="CK255" s="59">
        <f t="shared" si="261"/>
        <v>3244512537</v>
      </c>
    </row>
    <row r="256" spans="60:89" ht="12.75" customHeight="1" x14ac:dyDescent="0.25">
      <c r="BH256" s="58">
        <f t="shared" si="232"/>
        <v>3934288752</v>
      </c>
      <c r="BI256" s="58">
        <f t="shared" si="233"/>
        <v>1040349371</v>
      </c>
      <c r="BJ256" s="59">
        <f t="shared" si="234"/>
        <v>1405341302</v>
      </c>
      <c r="BK256" s="59">
        <f t="shared" si="235"/>
        <v>1703301333</v>
      </c>
      <c r="BL256" s="59">
        <f t="shared" si="236"/>
        <v>2863105948</v>
      </c>
      <c r="BM256" s="59">
        <f t="shared" si="237"/>
        <v>3972730017</v>
      </c>
      <c r="BN256" s="59">
        <f t="shared" si="238"/>
        <v>21958457</v>
      </c>
      <c r="BO256" s="59">
        <f t="shared" si="239"/>
        <v>3650492739</v>
      </c>
      <c r="BP256" s="59">
        <f t="shared" si="240"/>
        <v>42173972</v>
      </c>
      <c r="BQ256" s="59">
        <f t="shared" si="241"/>
        <v>1686241409</v>
      </c>
      <c r="BR256" s="59">
        <f t="shared" si="242"/>
        <v>4184099306</v>
      </c>
      <c r="BS256" s="59">
        <f t="shared" si="243"/>
        <v>2303548532</v>
      </c>
      <c r="BT256" s="59">
        <f t="shared" si="244"/>
        <v>21236008</v>
      </c>
      <c r="BU256" s="59">
        <f t="shared" si="245"/>
        <v>2298746944</v>
      </c>
      <c r="BV256" s="59">
        <f t="shared" si="246"/>
        <v>4163585747</v>
      </c>
      <c r="BW256" s="59">
        <f t="shared" si="247"/>
        <v>1356547383</v>
      </c>
      <c r="BX256" s="59">
        <f t="shared" si="248"/>
        <v>3662541910</v>
      </c>
      <c r="BY256" s="59">
        <f t="shared" si="249"/>
        <v>1535285538</v>
      </c>
      <c r="BZ256" s="59">
        <f t="shared" si="250"/>
        <v>362209446</v>
      </c>
      <c r="CA256" s="59">
        <f t="shared" si="251"/>
        <v>1219924861</v>
      </c>
      <c r="CB256" s="59">
        <f t="shared" si="252"/>
        <v>42650480</v>
      </c>
      <c r="CC256" s="59">
        <f t="shared" si="253"/>
        <v>1394891593</v>
      </c>
      <c r="CD256" s="59">
        <f t="shared" si="254"/>
        <v>268754950</v>
      </c>
      <c r="CE256" s="59">
        <f t="shared" si="255"/>
        <v>1216516384</v>
      </c>
      <c r="CF256" s="59">
        <f t="shared" si="256"/>
        <v>3487241456</v>
      </c>
      <c r="CG256" s="59">
        <f t="shared" si="257"/>
        <v>322177631</v>
      </c>
      <c r="CH256" s="59">
        <f t="shared" si="258"/>
        <v>42598512</v>
      </c>
      <c r="CI256" s="59">
        <f t="shared" si="259"/>
        <v>321129033</v>
      </c>
      <c r="CJ256" s="59">
        <f t="shared" si="260"/>
        <v>3444694912</v>
      </c>
      <c r="CK256" s="59">
        <f t="shared" si="261"/>
        <v>1074811158</v>
      </c>
    </row>
    <row r="257" spans="60:89" ht="12.75" customHeight="1" x14ac:dyDescent="0.25">
      <c r="BH257" s="58">
        <f t="shared" si="232"/>
        <v>3552171953</v>
      </c>
      <c r="BI257" s="58">
        <f t="shared" si="233"/>
        <v>3413718931</v>
      </c>
      <c r="BJ257" s="59">
        <f t="shared" si="234"/>
        <v>1704414527</v>
      </c>
      <c r="BK257" s="59">
        <f t="shared" si="235"/>
        <v>4187717535</v>
      </c>
      <c r="BL257" s="59">
        <f t="shared" si="236"/>
        <v>1053503130</v>
      </c>
      <c r="BM257" s="59">
        <f t="shared" si="237"/>
        <v>2146645759</v>
      </c>
      <c r="BN257" s="59">
        <f t="shared" si="238"/>
        <v>26631476</v>
      </c>
      <c r="BO257" s="59">
        <f t="shared" si="239"/>
        <v>4293291518</v>
      </c>
      <c r="BP257" s="59">
        <f t="shared" si="240"/>
        <v>612568090</v>
      </c>
      <c r="BQ257" s="59">
        <f t="shared" si="241"/>
        <v>2039690911</v>
      </c>
      <c r="BR257" s="59">
        <f t="shared" si="242"/>
        <v>1532781477</v>
      </c>
      <c r="BS257" s="59">
        <f t="shared" si="243"/>
        <v>2254981472</v>
      </c>
      <c r="BT257" s="59">
        <f t="shared" si="244"/>
        <v>18104612</v>
      </c>
      <c r="BU257" s="59">
        <f t="shared" si="245"/>
        <v>2254457184</v>
      </c>
      <c r="BV257" s="59">
        <f t="shared" si="246"/>
        <v>1523203729</v>
      </c>
      <c r="BW257" s="59">
        <f t="shared" si="247"/>
        <v>2039358622</v>
      </c>
      <c r="BX257" s="59">
        <f t="shared" si="248"/>
        <v>2812569367</v>
      </c>
      <c r="BY257" s="59">
        <f t="shared" si="249"/>
        <v>1232062884</v>
      </c>
      <c r="BZ257" s="59">
        <f t="shared" si="250"/>
        <v>3318897650</v>
      </c>
      <c r="CA257" s="59">
        <f t="shared" si="251"/>
        <v>1764354329</v>
      </c>
      <c r="CB257" s="59">
        <f t="shared" si="252"/>
        <v>14870829</v>
      </c>
      <c r="CC257" s="59">
        <f t="shared" si="253"/>
        <v>4180972788</v>
      </c>
      <c r="CD257" s="59">
        <f t="shared" si="254"/>
        <v>2239775506</v>
      </c>
      <c r="CE257" s="59">
        <f t="shared" si="255"/>
        <v>1227475200</v>
      </c>
      <c r="CF257" s="59">
        <f t="shared" si="256"/>
        <v>1651916005</v>
      </c>
      <c r="CG257" s="59">
        <f t="shared" si="257"/>
        <v>541466813</v>
      </c>
      <c r="CH257" s="59">
        <f t="shared" si="258"/>
        <v>6432805</v>
      </c>
      <c r="CI257" s="59">
        <f t="shared" si="259"/>
        <v>537133236</v>
      </c>
      <c r="CJ257" s="59">
        <f t="shared" si="260"/>
        <v>1653921224</v>
      </c>
      <c r="CK257" s="59">
        <f t="shared" si="261"/>
        <v>3648173129</v>
      </c>
    </row>
    <row r="258" spans="60:89" ht="12.75" customHeight="1" x14ac:dyDescent="0.25">
      <c r="BH258" s="58">
        <f t="shared" si="232"/>
        <v>279921447</v>
      </c>
      <c r="BI258" s="58">
        <f t="shared" si="233"/>
        <v>1589011400</v>
      </c>
      <c r="BJ258" s="59">
        <f t="shared" si="234"/>
        <v>1636063079</v>
      </c>
      <c r="BK258" s="59">
        <f t="shared" si="235"/>
        <v>2003240725</v>
      </c>
      <c r="BL258" s="59">
        <f t="shared" si="236"/>
        <v>717424814</v>
      </c>
      <c r="BM258" s="59">
        <f t="shared" si="237"/>
        <v>3471756814</v>
      </c>
      <c r="BN258" s="59">
        <f t="shared" si="238"/>
        <v>25563485</v>
      </c>
      <c r="BO258" s="59">
        <f t="shared" si="239"/>
        <v>2648546332</v>
      </c>
      <c r="BP258" s="59">
        <f t="shared" si="240"/>
        <v>545259558</v>
      </c>
      <c r="BQ258" s="59">
        <f t="shared" si="241"/>
        <v>1181091332</v>
      </c>
      <c r="BR258" s="59">
        <f t="shared" si="242"/>
        <v>1262968777</v>
      </c>
      <c r="BS258" s="59">
        <f t="shared" si="243"/>
        <v>3112814875</v>
      </c>
      <c r="BT258" s="59">
        <f t="shared" si="244"/>
        <v>17174857</v>
      </c>
      <c r="BU258" s="59">
        <f t="shared" si="245"/>
        <v>2575927320</v>
      </c>
      <c r="BV258" s="59">
        <f t="shared" si="246"/>
        <v>1254182548</v>
      </c>
      <c r="BW258" s="59">
        <f t="shared" si="247"/>
        <v>609506567</v>
      </c>
      <c r="BX258" s="59">
        <f t="shared" si="248"/>
        <v>1326939472</v>
      </c>
      <c r="BY258" s="59">
        <f t="shared" si="249"/>
        <v>258869184</v>
      </c>
      <c r="BZ258" s="59">
        <f t="shared" si="250"/>
        <v>1409538945</v>
      </c>
      <c r="CA258" s="59">
        <f t="shared" si="251"/>
        <v>4027827679</v>
      </c>
      <c r="CB258" s="59">
        <f t="shared" si="252"/>
        <v>61473261</v>
      </c>
      <c r="CC258" s="59">
        <f t="shared" si="253"/>
        <v>3237480930</v>
      </c>
      <c r="CD258" s="59">
        <f t="shared" si="254"/>
        <v>1141070080</v>
      </c>
      <c r="CE258" s="59">
        <f t="shared" si="255"/>
        <v>132544</v>
      </c>
      <c r="CF258" s="59">
        <f t="shared" si="256"/>
        <v>454338257</v>
      </c>
      <c r="CG258" s="59">
        <f t="shared" si="257"/>
        <v>4286431775</v>
      </c>
      <c r="CH258" s="59">
        <f t="shared" si="258"/>
        <v>50331841</v>
      </c>
      <c r="CI258" s="59">
        <f t="shared" si="259"/>
        <v>3229089794</v>
      </c>
      <c r="CJ258" s="59">
        <f t="shared" si="260"/>
        <v>415147836</v>
      </c>
      <c r="CK258" s="59">
        <f t="shared" si="261"/>
        <v>1065733117</v>
      </c>
    </row>
    <row r="259" spans="60:89" ht="12.75" customHeight="1" x14ac:dyDescent="0.25">
      <c r="BH259" s="58">
        <f t="shared" si="232"/>
        <v>1261269296</v>
      </c>
      <c r="BI259" s="58">
        <f t="shared" si="233"/>
        <v>853906591</v>
      </c>
      <c r="BJ259" s="59">
        <f t="shared" si="234"/>
        <v>3793075171</v>
      </c>
      <c r="BK259" s="59">
        <f t="shared" si="235"/>
        <v>2901583048</v>
      </c>
      <c r="BL259" s="59">
        <f t="shared" si="236"/>
        <v>2445552503</v>
      </c>
      <c r="BM259" s="59">
        <f t="shared" si="237"/>
        <v>3344557385</v>
      </c>
      <c r="BN259" s="59">
        <f t="shared" si="238"/>
        <v>25712367</v>
      </c>
      <c r="BO259" s="59">
        <f t="shared" si="239"/>
        <v>2394147475</v>
      </c>
      <c r="BP259" s="59">
        <f t="shared" si="240"/>
        <v>2147756899</v>
      </c>
      <c r="BQ259" s="59">
        <f t="shared" si="241"/>
        <v>2219877448</v>
      </c>
      <c r="BR259" s="59">
        <f t="shared" si="242"/>
        <v>1943113876</v>
      </c>
      <c r="BS259" s="59">
        <f t="shared" si="243"/>
        <v>1806385537</v>
      </c>
      <c r="BT259" s="59">
        <f t="shared" si="244"/>
        <v>25170052</v>
      </c>
      <c r="BU259" s="59">
        <f t="shared" si="245"/>
        <v>178471041</v>
      </c>
      <c r="BV259" s="59">
        <f t="shared" si="246"/>
        <v>1918486139</v>
      </c>
      <c r="BW259" s="59">
        <f t="shared" si="247"/>
        <v>3843590930</v>
      </c>
      <c r="BX259" s="59">
        <f t="shared" si="248"/>
        <v>653425271</v>
      </c>
      <c r="BY259" s="59">
        <f t="shared" si="249"/>
        <v>989215087</v>
      </c>
      <c r="BZ259" s="59">
        <f t="shared" si="250"/>
        <v>2647571854</v>
      </c>
      <c r="CA259" s="59">
        <f t="shared" si="251"/>
        <v>1539947678</v>
      </c>
      <c r="CB259" s="59">
        <f t="shared" si="252"/>
        <v>55502686</v>
      </c>
      <c r="CC259" s="59">
        <f t="shared" si="253"/>
        <v>3341673694</v>
      </c>
      <c r="CD259" s="59">
        <f t="shared" si="254"/>
        <v>79837190</v>
      </c>
      <c r="CE259" s="59">
        <f t="shared" si="255"/>
        <v>448804878</v>
      </c>
      <c r="CF259" s="59">
        <f t="shared" si="256"/>
        <v>3141322745</v>
      </c>
      <c r="CG259" s="59">
        <f t="shared" si="257"/>
        <v>1631553009</v>
      </c>
      <c r="CH259" s="59">
        <f t="shared" si="258"/>
        <v>51169112</v>
      </c>
      <c r="CI259" s="59">
        <f t="shared" si="259"/>
        <v>1093502160</v>
      </c>
      <c r="CJ259" s="59">
        <f t="shared" si="260"/>
        <v>3094487207</v>
      </c>
      <c r="CK259" s="59">
        <f t="shared" si="261"/>
        <v>2786222383</v>
      </c>
    </row>
    <row r="260" spans="60:89" ht="12.75" customHeight="1" x14ac:dyDescent="0.25">
      <c r="BH260" s="58">
        <f t="shared" si="232"/>
        <v>3050398708</v>
      </c>
      <c r="BI260" s="58">
        <f t="shared" si="233"/>
        <v>991758288</v>
      </c>
      <c r="BJ260" s="59">
        <f t="shared" si="234"/>
        <v>3496145808</v>
      </c>
      <c r="BK260" s="59">
        <f t="shared" si="235"/>
        <v>3773085085</v>
      </c>
      <c r="BL260" s="59">
        <f t="shared" si="236"/>
        <v>1000392167</v>
      </c>
      <c r="BM260" s="59">
        <f t="shared" si="237"/>
        <v>566348139</v>
      </c>
      <c r="BN260" s="59">
        <f t="shared" si="238"/>
        <v>21072846</v>
      </c>
      <c r="BO260" s="59">
        <f t="shared" si="239"/>
        <v>1132696278</v>
      </c>
      <c r="BP260" s="59">
        <f t="shared" si="240"/>
        <v>270582144</v>
      </c>
      <c r="BQ260" s="59">
        <f t="shared" si="241"/>
        <v>549486857</v>
      </c>
      <c r="BR260" s="59">
        <f t="shared" si="242"/>
        <v>3955373687</v>
      </c>
      <c r="BS260" s="59">
        <f t="shared" si="243"/>
        <v>3240459510</v>
      </c>
      <c r="BT260" s="59">
        <f t="shared" si="244"/>
        <v>20972102</v>
      </c>
      <c r="BU260" s="59">
        <f t="shared" si="245"/>
        <v>1090588886</v>
      </c>
      <c r="BV260" s="59">
        <f t="shared" si="246"/>
        <v>3934502329</v>
      </c>
      <c r="BW260" s="59">
        <f t="shared" si="247"/>
        <v>2191978016</v>
      </c>
      <c r="BX260" s="59">
        <f t="shared" si="248"/>
        <v>3430482453</v>
      </c>
      <c r="BY260" s="59">
        <f t="shared" si="249"/>
        <v>3898928086</v>
      </c>
      <c r="BZ260" s="59">
        <f t="shared" si="250"/>
        <v>2239371578</v>
      </c>
      <c r="CA260" s="59">
        <f t="shared" si="251"/>
        <v>4122156608</v>
      </c>
      <c r="CB260" s="59">
        <f t="shared" si="252"/>
        <v>4373772</v>
      </c>
      <c r="CC260" s="59">
        <f t="shared" si="253"/>
        <v>2642073999</v>
      </c>
      <c r="CD260" s="59">
        <f t="shared" si="254"/>
        <v>2222456848</v>
      </c>
      <c r="CE260" s="59">
        <f t="shared" si="255"/>
        <v>3760196160</v>
      </c>
      <c r="CF260" s="59">
        <f t="shared" si="256"/>
        <v>1224940335</v>
      </c>
      <c r="CG260" s="59">
        <f t="shared" si="257"/>
        <v>500692374</v>
      </c>
      <c r="CH260" s="59">
        <f t="shared" si="258"/>
        <v>137484</v>
      </c>
      <c r="CI260" s="59">
        <f t="shared" si="259"/>
        <v>491966854</v>
      </c>
      <c r="CJ260" s="59">
        <f t="shared" si="260"/>
        <v>1229039139</v>
      </c>
      <c r="CK260" s="59">
        <f t="shared" si="261"/>
        <v>2158832665</v>
      </c>
    </row>
    <row r="261" spans="60:89" ht="12.75" customHeight="1" x14ac:dyDescent="0.25">
      <c r="BH261" s="58">
        <f t="shared" si="232"/>
        <v>692624067</v>
      </c>
      <c r="BI261" s="58">
        <f t="shared" si="233"/>
        <v>4174190593</v>
      </c>
      <c r="BJ261" s="59">
        <f t="shared" si="234"/>
        <v>1198027591</v>
      </c>
      <c r="BK261" s="59">
        <f t="shared" si="235"/>
        <v>3832711774</v>
      </c>
      <c r="BL261" s="59">
        <f t="shared" si="236"/>
        <v>3163476198</v>
      </c>
      <c r="BM261" s="59">
        <f t="shared" si="237"/>
        <v>2412307732</v>
      </c>
      <c r="BN261" s="59">
        <f t="shared" si="238"/>
        <v>18719181</v>
      </c>
      <c r="BO261" s="59">
        <f t="shared" si="239"/>
        <v>529648169</v>
      </c>
      <c r="BP261" s="59">
        <f t="shared" si="240"/>
        <v>67653702</v>
      </c>
      <c r="BQ261" s="59">
        <f t="shared" si="241"/>
        <v>2218819604</v>
      </c>
      <c r="BR261" s="59">
        <f t="shared" si="242"/>
        <v>4226196385</v>
      </c>
      <c r="BS261" s="59">
        <f t="shared" si="243"/>
        <v>1807380298</v>
      </c>
      <c r="BT261" s="59">
        <f t="shared" si="244"/>
        <v>17080705</v>
      </c>
      <c r="BU261" s="59">
        <f t="shared" si="245"/>
        <v>194005512</v>
      </c>
      <c r="BV261" s="59">
        <f t="shared" si="246"/>
        <v>4210754156</v>
      </c>
      <c r="BW261" s="59">
        <f t="shared" si="247"/>
        <v>1949017443</v>
      </c>
      <c r="BX261" s="59">
        <f t="shared" si="248"/>
        <v>2996037989</v>
      </c>
      <c r="BY261" s="59">
        <f t="shared" si="249"/>
        <v>2921727580</v>
      </c>
      <c r="BZ261" s="59">
        <f t="shared" si="250"/>
        <v>1500219777</v>
      </c>
      <c r="CA261" s="59">
        <f t="shared" si="251"/>
        <v>2536285434</v>
      </c>
      <c r="CB261" s="59">
        <f t="shared" si="252"/>
        <v>19707332</v>
      </c>
      <c r="CC261" s="59">
        <f t="shared" si="253"/>
        <v>3234567762</v>
      </c>
      <c r="CD261" s="59">
        <f t="shared" si="254"/>
        <v>268667137</v>
      </c>
      <c r="CE261" s="59">
        <f t="shared" si="255"/>
        <v>2250507352</v>
      </c>
      <c r="CF261" s="59">
        <f t="shared" si="256"/>
        <v>3958923492</v>
      </c>
      <c r="CG261" s="59">
        <f t="shared" si="257"/>
        <v>956998310</v>
      </c>
      <c r="CH261" s="59">
        <f t="shared" si="258"/>
        <v>19407044</v>
      </c>
      <c r="CI261" s="59">
        <f t="shared" si="259"/>
        <v>688642</v>
      </c>
      <c r="CJ261" s="59">
        <f t="shared" si="260"/>
        <v>3939816736</v>
      </c>
      <c r="CK261" s="59">
        <f t="shared" si="261"/>
        <v>4190188788</v>
      </c>
    </row>
    <row r="262" spans="60:89" ht="12.75" customHeight="1" x14ac:dyDescent="0.25">
      <c r="BH262" s="58">
        <f t="shared" si="232"/>
        <v>2099683504</v>
      </c>
      <c r="BI262" s="58">
        <f t="shared" si="233"/>
        <v>934515902</v>
      </c>
      <c r="BJ262" s="59">
        <f t="shared" si="234"/>
        <v>2079149472</v>
      </c>
      <c r="BK262" s="59">
        <f t="shared" si="235"/>
        <v>1034141033</v>
      </c>
      <c r="BL262" s="59">
        <f t="shared" si="236"/>
        <v>3539458715</v>
      </c>
      <c r="BM262" s="59">
        <f t="shared" si="237"/>
        <v>1081821050</v>
      </c>
      <c r="BN262" s="59">
        <f t="shared" si="238"/>
        <v>32486710</v>
      </c>
      <c r="BO262" s="59">
        <f t="shared" si="239"/>
        <v>2163642101</v>
      </c>
      <c r="BP262" s="59">
        <f t="shared" si="240"/>
        <v>1390758016</v>
      </c>
      <c r="BQ262" s="59">
        <f t="shared" si="241"/>
        <v>2295144</v>
      </c>
      <c r="BR262" s="59">
        <f t="shared" si="242"/>
        <v>2837092155</v>
      </c>
      <c r="BS262" s="59">
        <f t="shared" si="243"/>
        <v>2111371795</v>
      </c>
      <c r="BT262" s="59">
        <f t="shared" si="244"/>
        <v>17470770</v>
      </c>
      <c r="BU262" s="59">
        <f t="shared" si="245"/>
        <v>13666833</v>
      </c>
      <c r="BV262" s="59">
        <f t="shared" si="246"/>
        <v>2834637325</v>
      </c>
      <c r="BW262" s="59">
        <f t="shared" si="247"/>
        <v>4247680230</v>
      </c>
      <c r="BX262" s="59">
        <f t="shared" si="248"/>
        <v>2700744378</v>
      </c>
      <c r="BY262" s="59">
        <f t="shared" si="249"/>
        <v>746489699</v>
      </c>
      <c r="BZ262" s="59">
        <f t="shared" si="250"/>
        <v>2928353185</v>
      </c>
      <c r="CA262" s="59">
        <f t="shared" si="251"/>
        <v>3639099013</v>
      </c>
      <c r="CB262" s="59">
        <f t="shared" si="252"/>
        <v>47662479</v>
      </c>
      <c r="CC262" s="59">
        <f t="shared" si="253"/>
        <v>3505157151</v>
      </c>
      <c r="CD262" s="59">
        <f t="shared" si="254"/>
        <v>2693404320</v>
      </c>
      <c r="CE262" s="59">
        <f t="shared" si="255"/>
        <v>141035009</v>
      </c>
      <c r="CF262" s="59">
        <f t="shared" si="256"/>
        <v>242288923</v>
      </c>
      <c r="CG262" s="59">
        <f t="shared" si="257"/>
        <v>4103518694</v>
      </c>
      <c r="CH262" s="59">
        <f t="shared" si="258"/>
        <v>38863115</v>
      </c>
      <c r="CI262" s="59">
        <f t="shared" si="259"/>
        <v>3498323974</v>
      </c>
      <c r="CJ262" s="59">
        <f t="shared" si="260"/>
        <v>212225172</v>
      </c>
      <c r="CK262" s="59">
        <f t="shared" si="261"/>
        <v>612027897</v>
      </c>
    </row>
    <row r="263" spans="60:89" ht="12.75" customHeight="1" x14ac:dyDescent="0.25">
      <c r="BH263" s="58">
        <f t="shared" si="232"/>
        <v>2252941320</v>
      </c>
      <c r="BI263" s="58">
        <f t="shared" si="233"/>
        <v>2959858690</v>
      </c>
      <c r="BJ263" s="59">
        <f t="shared" si="234"/>
        <v>3933280687</v>
      </c>
      <c r="BK263" s="59">
        <f t="shared" si="235"/>
        <v>4232564136</v>
      </c>
      <c r="BL263" s="59">
        <f t="shared" si="236"/>
        <v>1372906035</v>
      </c>
      <c r="BM263" s="59">
        <f t="shared" si="237"/>
        <v>1610125211</v>
      </c>
      <c r="BN263" s="59">
        <f t="shared" si="238"/>
        <v>27903078</v>
      </c>
      <c r="BO263" s="59">
        <f t="shared" si="239"/>
        <v>3220250422</v>
      </c>
      <c r="BP263" s="59">
        <f t="shared" si="240"/>
        <v>1078984739</v>
      </c>
      <c r="BQ263" s="59">
        <f t="shared" si="241"/>
        <v>1547734408</v>
      </c>
      <c r="BR263" s="59">
        <f t="shared" si="242"/>
        <v>3148217244</v>
      </c>
      <c r="BS263" s="59">
        <f t="shared" si="243"/>
        <v>2747220531</v>
      </c>
      <c r="BT263" s="59">
        <f t="shared" si="244"/>
        <v>27377668</v>
      </c>
      <c r="BU263" s="59">
        <f t="shared" si="245"/>
        <v>2746286642</v>
      </c>
      <c r="BV263" s="59">
        <f t="shared" si="246"/>
        <v>3121364986</v>
      </c>
      <c r="BW263" s="59">
        <f t="shared" si="247"/>
        <v>474897669</v>
      </c>
      <c r="BX263" s="59">
        <f t="shared" si="248"/>
        <v>2734695721</v>
      </c>
      <c r="BY263" s="59">
        <f t="shared" si="249"/>
        <v>324566809</v>
      </c>
      <c r="BZ263" s="59">
        <f t="shared" si="250"/>
        <v>1246025247</v>
      </c>
      <c r="CA263" s="59">
        <f t="shared" si="251"/>
        <v>3328753673</v>
      </c>
      <c r="CB263" s="59">
        <f t="shared" si="252"/>
        <v>10822251</v>
      </c>
      <c r="CC263" s="59">
        <f t="shared" si="253"/>
        <v>266548320</v>
      </c>
      <c r="CD263" s="59">
        <f t="shared" si="254"/>
        <v>33555465</v>
      </c>
      <c r="CE263" s="59">
        <f t="shared" si="255"/>
        <v>38289417</v>
      </c>
      <c r="CF263" s="59">
        <f t="shared" si="256"/>
        <v>3913610038</v>
      </c>
      <c r="CG263" s="59">
        <f t="shared" si="257"/>
        <v>3576741648</v>
      </c>
      <c r="CH263" s="59">
        <f t="shared" si="258"/>
        <v>270882</v>
      </c>
      <c r="CI263" s="59">
        <f t="shared" si="259"/>
        <v>85996544</v>
      </c>
      <c r="CJ263" s="59">
        <f t="shared" si="260"/>
        <v>3923890525</v>
      </c>
      <c r="CK263" s="59">
        <f t="shared" si="261"/>
        <v>3671296880</v>
      </c>
    </row>
    <row r="264" spans="60:89" ht="12.75" customHeight="1" x14ac:dyDescent="0.25">
      <c r="BH264" s="58">
        <f t="shared" si="232"/>
        <v>3794258689</v>
      </c>
      <c r="BI264" s="58">
        <f t="shared" si="233"/>
        <v>133830882</v>
      </c>
      <c r="BJ264" s="59">
        <f t="shared" si="234"/>
        <v>2658160353</v>
      </c>
      <c r="BK264" s="59">
        <f t="shared" si="235"/>
        <v>3730378368</v>
      </c>
      <c r="BL264" s="59">
        <f t="shared" si="236"/>
        <v>20766877</v>
      </c>
      <c r="BM264" s="59">
        <f t="shared" si="237"/>
        <v>3283923485</v>
      </c>
      <c r="BN264" s="59">
        <f t="shared" si="238"/>
        <v>7979323</v>
      </c>
      <c r="BO264" s="59">
        <f t="shared" si="239"/>
        <v>2272879674</v>
      </c>
      <c r="BP264" s="59">
        <f t="shared" si="240"/>
        <v>3162241</v>
      </c>
      <c r="BQ264" s="59">
        <f t="shared" si="241"/>
        <v>3256353280</v>
      </c>
      <c r="BR264" s="59">
        <f t="shared" si="242"/>
        <v>2672602748</v>
      </c>
      <c r="BS264" s="59">
        <f t="shared" si="243"/>
        <v>501595293</v>
      </c>
      <c r="BT264" s="59">
        <f t="shared" si="244"/>
        <v>4751416</v>
      </c>
      <c r="BU264" s="59">
        <f t="shared" si="245"/>
        <v>90252312</v>
      </c>
      <c r="BV264" s="59">
        <f t="shared" si="246"/>
        <v>2671079239</v>
      </c>
      <c r="BW264" s="59">
        <f t="shared" si="247"/>
        <v>2593970343</v>
      </c>
      <c r="BX264" s="59">
        <f t="shared" si="248"/>
        <v>1922551716</v>
      </c>
      <c r="BY264" s="59">
        <f t="shared" si="249"/>
        <v>3558213366</v>
      </c>
      <c r="BZ264" s="59">
        <f t="shared" si="250"/>
        <v>3912566145</v>
      </c>
      <c r="CA264" s="59">
        <f t="shared" si="251"/>
        <v>3181159923</v>
      </c>
      <c r="CB264" s="59">
        <f t="shared" si="252"/>
        <v>32807554</v>
      </c>
      <c r="CC264" s="59">
        <f t="shared" si="253"/>
        <v>3235827282</v>
      </c>
      <c r="CD264" s="59">
        <f t="shared" si="254"/>
        <v>1611990400</v>
      </c>
      <c r="CE264" s="59">
        <f t="shared" si="255"/>
        <v>2484339954</v>
      </c>
      <c r="CF264" s="59">
        <f t="shared" si="256"/>
        <v>2611137061</v>
      </c>
      <c r="CG264" s="59">
        <f t="shared" si="257"/>
        <v>1770693381</v>
      </c>
      <c r="CH264" s="59">
        <f t="shared" si="258"/>
        <v>27298304</v>
      </c>
      <c r="CI264" s="59">
        <f t="shared" si="259"/>
        <v>1082819072</v>
      </c>
      <c r="CJ264" s="59">
        <f t="shared" si="260"/>
        <v>2589348007</v>
      </c>
      <c r="CK264" s="59">
        <f t="shared" si="261"/>
        <v>2840882519</v>
      </c>
    </row>
    <row r="265" spans="60:89" ht="12.75" customHeight="1" x14ac:dyDescent="0.25">
      <c r="BH265" s="58">
        <f t="shared" si="232"/>
        <v>3476749175</v>
      </c>
      <c r="BI265" s="58">
        <f t="shared" si="233"/>
        <v>2303278200</v>
      </c>
      <c r="BJ265" s="59">
        <f t="shared" si="234"/>
        <v>929665845</v>
      </c>
      <c r="BK265" s="59">
        <f t="shared" si="235"/>
        <v>1454759553</v>
      </c>
      <c r="BL265" s="59">
        <f t="shared" si="236"/>
        <v>40817446</v>
      </c>
      <c r="BM265" s="59">
        <f t="shared" si="237"/>
        <v>1789750205</v>
      </c>
      <c r="BN265" s="59">
        <f t="shared" si="238"/>
        <v>14526028</v>
      </c>
      <c r="BO265" s="59">
        <f t="shared" si="239"/>
        <v>3579500410</v>
      </c>
      <c r="BP265" s="59">
        <f t="shared" si="240"/>
        <v>40407844</v>
      </c>
      <c r="BQ265" s="59">
        <f t="shared" si="241"/>
        <v>1118128769</v>
      </c>
      <c r="BR265" s="59">
        <f t="shared" si="242"/>
        <v>889667603</v>
      </c>
      <c r="BS265" s="59">
        <f t="shared" si="243"/>
        <v>1008252220</v>
      </c>
      <c r="BT265" s="59">
        <f t="shared" si="244"/>
        <v>327680</v>
      </c>
      <c r="BU265" s="59">
        <f t="shared" si="245"/>
        <v>337155384</v>
      </c>
      <c r="BV265" s="59">
        <f t="shared" si="246"/>
        <v>903538271</v>
      </c>
      <c r="BW265" s="59">
        <f t="shared" si="247"/>
        <v>3913441862</v>
      </c>
      <c r="BX265" s="59">
        <f t="shared" si="248"/>
        <v>2072006857</v>
      </c>
      <c r="BY265" s="59">
        <f t="shared" si="249"/>
        <v>620828173</v>
      </c>
      <c r="BZ265" s="59">
        <f t="shared" si="250"/>
        <v>843661381</v>
      </c>
      <c r="CA265" s="59">
        <f t="shared" si="251"/>
        <v>2204033044</v>
      </c>
      <c r="CB265" s="59">
        <f t="shared" si="252"/>
        <v>35202208</v>
      </c>
      <c r="CC265" s="59">
        <f t="shared" si="253"/>
        <v>583118704</v>
      </c>
      <c r="CD265" s="59">
        <f t="shared" si="254"/>
        <v>838877249</v>
      </c>
      <c r="CE265" s="59">
        <f t="shared" si="255"/>
        <v>16777220</v>
      </c>
      <c r="CF265" s="59">
        <f t="shared" si="256"/>
        <v>1237913740</v>
      </c>
      <c r="CG265" s="59">
        <f t="shared" si="257"/>
        <v>2791306777</v>
      </c>
      <c r="CH265" s="59">
        <f t="shared" si="258"/>
        <v>589952</v>
      </c>
      <c r="CI265" s="59">
        <f t="shared" si="259"/>
        <v>574727696</v>
      </c>
      <c r="CJ265" s="59">
        <f t="shared" si="260"/>
        <v>1271936044</v>
      </c>
      <c r="CK265" s="59">
        <f t="shared" si="261"/>
        <v>2224970089</v>
      </c>
    </row>
    <row r="266" spans="60:89" ht="12.75" customHeight="1" x14ac:dyDescent="0.25">
      <c r="BH266" s="58">
        <f t="shared" si="232"/>
        <v>30510008</v>
      </c>
      <c r="BI266" s="58">
        <f t="shared" si="233"/>
        <v>2648354611</v>
      </c>
      <c r="BJ266" s="59">
        <f t="shared" si="234"/>
        <v>1895848299</v>
      </c>
      <c r="BK266" s="59">
        <f t="shared" si="235"/>
        <v>2211619267</v>
      </c>
      <c r="BL266" s="59">
        <f t="shared" si="236"/>
        <v>2262958258</v>
      </c>
      <c r="BM266" s="59">
        <f t="shared" si="237"/>
        <v>3607602499</v>
      </c>
      <c r="BN266" s="59">
        <f t="shared" si="238"/>
        <v>29622629</v>
      </c>
      <c r="BO266" s="59">
        <f t="shared" si="239"/>
        <v>2920237703</v>
      </c>
      <c r="BP266" s="59">
        <f t="shared" si="240"/>
        <v>34</v>
      </c>
      <c r="BQ266" s="59">
        <f t="shared" si="241"/>
        <v>2197987651</v>
      </c>
      <c r="BR266" s="59">
        <f t="shared" si="242"/>
        <v>4158806489</v>
      </c>
      <c r="BS266" s="59">
        <f t="shared" si="243"/>
        <v>1423246464</v>
      </c>
      <c r="BT266" s="59">
        <f t="shared" si="244"/>
        <v>29360449</v>
      </c>
      <c r="BU266" s="59">
        <f t="shared" si="245"/>
        <v>67436672</v>
      </c>
      <c r="BV266" s="59">
        <f t="shared" si="246"/>
        <v>4129708220</v>
      </c>
      <c r="BW266" s="59">
        <f t="shared" si="247"/>
        <v>4208610823</v>
      </c>
      <c r="BX266" s="59">
        <f t="shared" si="248"/>
        <v>1125932100</v>
      </c>
      <c r="BY266" s="59">
        <f t="shared" si="249"/>
        <v>4183826687</v>
      </c>
      <c r="BZ266" s="59">
        <f t="shared" si="250"/>
        <v>289298440</v>
      </c>
      <c r="CA266" s="59">
        <f t="shared" si="251"/>
        <v>1070647063</v>
      </c>
      <c r="CB266" s="59">
        <f t="shared" si="252"/>
        <v>59285292</v>
      </c>
      <c r="CC266" s="59">
        <f t="shared" si="253"/>
        <v>69199971</v>
      </c>
      <c r="CD266" s="59">
        <f t="shared" si="254"/>
        <v>18634752</v>
      </c>
      <c r="CE266" s="59">
        <f t="shared" si="255"/>
        <v>960495639</v>
      </c>
      <c r="CF266" s="59">
        <f t="shared" si="256"/>
        <v>1377961036</v>
      </c>
      <c r="CG266" s="59">
        <f t="shared" si="257"/>
        <v>3333482472</v>
      </c>
      <c r="CH266" s="59">
        <f t="shared" si="258"/>
        <v>33555468</v>
      </c>
      <c r="CI266" s="59">
        <f t="shared" si="259"/>
        <v>68214880</v>
      </c>
      <c r="CJ266" s="59">
        <f t="shared" si="260"/>
        <v>1370135392</v>
      </c>
      <c r="CK266" s="59">
        <f t="shared" si="261"/>
        <v>3266252683</v>
      </c>
    </row>
    <row r="267" spans="60:89" ht="12.75" customHeight="1" x14ac:dyDescent="0.25">
      <c r="BH267" s="58">
        <f t="shared" si="232"/>
        <v>260162933</v>
      </c>
      <c r="BI267" s="58">
        <f t="shared" si="233"/>
        <v>2827221544</v>
      </c>
      <c r="BJ267" s="59">
        <f t="shared" si="234"/>
        <v>783052190</v>
      </c>
      <c r="BK267" s="59">
        <f t="shared" si="235"/>
        <v>3698740506</v>
      </c>
      <c r="BL267" s="59">
        <f t="shared" si="236"/>
        <v>878532827</v>
      </c>
      <c r="BM267" s="59">
        <f t="shared" si="237"/>
        <v>1035529370</v>
      </c>
      <c r="BN267" s="59">
        <f t="shared" si="238"/>
        <v>12235190</v>
      </c>
      <c r="BO267" s="59">
        <f t="shared" si="239"/>
        <v>2071058740</v>
      </c>
      <c r="BP267" s="59">
        <f t="shared" si="240"/>
        <v>604784794</v>
      </c>
      <c r="BQ267" s="59">
        <f t="shared" si="241"/>
        <v>472927258</v>
      </c>
      <c r="BR267" s="59">
        <f t="shared" si="242"/>
        <v>452015429</v>
      </c>
      <c r="BS267" s="59">
        <f t="shared" si="243"/>
        <v>3788415360</v>
      </c>
      <c r="BT267" s="59">
        <f t="shared" si="244"/>
        <v>11546884</v>
      </c>
      <c r="BU267" s="59">
        <f t="shared" si="245"/>
        <v>1631617280</v>
      </c>
      <c r="BV267" s="59">
        <f t="shared" si="246"/>
        <v>441156851</v>
      </c>
      <c r="BW267" s="59">
        <f t="shared" si="247"/>
        <v>2596239540</v>
      </c>
      <c r="BX267" s="59">
        <f t="shared" si="248"/>
        <v>663689703</v>
      </c>
      <c r="BY267" s="59">
        <f t="shared" si="249"/>
        <v>1601106217</v>
      </c>
      <c r="BZ267" s="59">
        <f t="shared" si="250"/>
        <v>2044189628</v>
      </c>
      <c r="CA267" s="59">
        <f t="shared" si="251"/>
        <v>1246356422</v>
      </c>
      <c r="CB267" s="59">
        <f t="shared" si="252"/>
        <v>54324205</v>
      </c>
      <c r="CC267" s="59">
        <f t="shared" si="253"/>
        <v>3726976241</v>
      </c>
      <c r="CD267" s="59">
        <f t="shared" si="254"/>
        <v>562502052</v>
      </c>
      <c r="CE267" s="59">
        <f t="shared" si="255"/>
        <v>1246290176</v>
      </c>
      <c r="CF267" s="59">
        <f t="shared" si="256"/>
        <v>1582875227</v>
      </c>
      <c r="CG267" s="59">
        <f t="shared" si="257"/>
        <v>354882287</v>
      </c>
      <c r="CH267" s="59">
        <f t="shared" si="258"/>
        <v>35177033</v>
      </c>
      <c r="CI267" s="59">
        <f t="shared" si="259"/>
        <v>337969377</v>
      </c>
      <c r="CJ267" s="59">
        <f t="shared" si="260"/>
        <v>1566845366</v>
      </c>
      <c r="CK267" s="59">
        <f t="shared" si="261"/>
        <v>3405919774</v>
      </c>
    </row>
    <row r="268" spans="60:89" ht="12.75" customHeight="1" x14ac:dyDescent="0.25">
      <c r="BH268" s="58">
        <f t="shared" si="232"/>
        <v>994400145</v>
      </c>
      <c r="BI268" s="58">
        <f t="shared" si="233"/>
        <v>774285763</v>
      </c>
      <c r="BJ268" s="59">
        <f t="shared" si="234"/>
        <v>1592804391</v>
      </c>
      <c r="BK268" s="59">
        <f t="shared" si="235"/>
        <v>4008825347</v>
      </c>
      <c r="BL268" s="59">
        <f t="shared" si="236"/>
        <v>113107080</v>
      </c>
      <c r="BM268" s="59">
        <f t="shared" si="237"/>
        <v>1339941796</v>
      </c>
      <c r="BN268" s="59">
        <f t="shared" si="238"/>
        <v>24887568</v>
      </c>
      <c r="BO268" s="59">
        <f t="shared" si="239"/>
        <v>2679883592</v>
      </c>
      <c r="BP268" s="59">
        <f t="shared" si="240"/>
        <v>112214016</v>
      </c>
      <c r="BQ268" s="59">
        <f t="shared" si="241"/>
        <v>1322369536</v>
      </c>
      <c r="BR268" s="59">
        <f t="shared" si="242"/>
        <v>1481483439</v>
      </c>
      <c r="BS268" s="59">
        <f t="shared" si="243"/>
        <v>2704028071</v>
      </c>
      <c r="BT268" s="59">
        <f t="shared" si="244"/>
        <v>4816896</v>
      </c>
      <c r="BU268" s="59">
        <f t="shared" si="245"/>
        <v>2166882560</v>
      </c>
      <c r="BV268" s="59">
        <f t="shared" si="246"/>
        <v>1496737215</v>
      </c>
      <c r="BW268" s="59">
        <f t="shared" si="247"/>
        <v>1050146543</v>
      </c>
      <c r="BX268" s="59">
        <f t="shared" si="248"/>
        <v>1441161274</v>
      </c>
      <c r="BY268" s="59">
        <f t="shared" si="249"/>
        <v>829887419</v>
      </c>
      <c r="BZ268" s="59">
        <f t="shared" si="250"/>
        <v>244080068</v>
      </c>
      <c r="CA268" s="59">
        <f t="shared" si="251"/>
        <v>4006967704</v>
      </c>
      <c r="CB268" s="59">
        <f t="shared" si="252"/>
        <v>476718</v>
      </c>
      <c r="CC268" s="59">
        <f t="shared" si="253"/>
        <v>3799476924</v>
      </c>
      <c r="CD268" s="59">
        <f t="shared" si="254"/>
        <v>75776000</v>
      </c>
      <c r="CE268" s="59">
        <f t="shared" si="255"/>
        <v>542445976</v>
      </c>
      <c r="CF268" s="59">
        <f t="shared" si="256"/>
        <v>1533689342</v>
      </c>
      <c r="CG268" s="59">
        <f t="shared" si="257"/>
        <v>3751963171</v>
      </c>
      <c r="CH268" s="59">
        <f t="shared" si="258"/>
        <v>132142</v>
      </c>
      <c r="CI268" s="59">
        <f t="shared" si="259"/>
        <v>3257035296</v>
      </c>
      <c r="CJ268" s="59">
        <f t="shared" si="260"/>
        <v>1533901776</v>
      </c>
      <c r="CK268" s="59">
        <f t="shared" si="261"/>
        <v>1037369503</v>
      </c>
    </row>
    <row r="269" spans="60:89" ht="12.75" customHeight="1" x14ac:dyDescent="0.25">
      <c r="BH269" s="58">
        <f t="shared" si="232"/>
        <v>4265283511</v>
      </c>
      <c r="BI269" s="58">
        <f t="shared" si="233"/>
        <v>427488957</v>
      </c>
      <c r="BJ269" s="59">
        <f t="shared" si="234"/>
        <v>3512299018</v>
      </c>
      <c r="BK269" s="59">
        <f t="shared" si="235"/>
        <v>1686858039</v>
      </c>
      <c r="BL269" s="59">
        <f t="shared" si="236"/>
        <v>1872933596</v>
      </c>
      <c r="BM269" s="59">
        <f t="shared" si="237"/>
        <v>348722898</v>
      </c>
      <c r="BN269" s="59">
        <f t="shared" si="238"/>
        <v>21325240</v>
      </c>
      <c r="BO269" s="59">
        <f t="shared" si="239"/>
        <v>697445796</v>
      </c>
      <c r="BP269" s="59">
        <f t="shared" si="240"/>
        <v>1090527752</v>
      </c>
      <c r="BQ269" s="59">
        <f t="shared" si="241"/>
        <v>76087314</v>
      </c>
      <c r="BR269" s="59">
        <f t="shared" si="242"/>
        <v>3204177110</v>
      </c>
      <c r="BS269" s="59">
        <f t="shared" si="243"/>
        <v>1883406309</v>
      </c>
      <c r="BT269" s="59">
        <f t="shared" si="244"/>
        <v>4277392</v>
      </c>
      <c r="BU269" s="59">
        <f t="shared" si="245"/>
        <v>537013668</v>
      </c>
      <c r="BV269" s="59">
        <f t="shared" si="246"/>
        <v>3216947566</v>
      </c>
      <c r="BW269" s="59">
        <f t="shared" si="247"/>
        <v>1506824769</v>
      </c>
      <c r="BX269" s="59">
        <f t="shared" si="248"/>
        <v>2135228912</v>
      </c>
      <c r="BY269" s="59">
        <f t="shared" si="249"/>
        <v>950973712</v>
      </c>
      <c r="BZ269" s="59">
        <f t="shared" si="250"/>
        <v>2081303469</v>
      </c>
      <c r="CA269" s="59">
        <f t="shared" si="251"/>
        <v>1142935872</v>
      </c>
      <c r="CB269" s="59">
        <f t="shared" si="252"/>
        <v>4065045</v>
      </c>
      <c r="CC269" s="59">
        <f t="shared" si="253"/>
        <v>3600945128</v>
      </c>
      <c r="CD269" s="59">
        <f t="shared" si="254"/>
        <v>2080637344</v>
      </c>
      <c r="CE269" s="59">
        <f t="shared" si="255"/>
        <v>954624</v>
      </c>
      <c r="CF269" s="59">
        <f t="shared" si="256"/>
        <v>55257693</v>
      </c>
      <c r="CG269" s="59">
        <f t="shared" si="257"/>
        <v>2092000336</v>
      </c>
      <c r="CH269" s="59">
        <f t="shared" si="258"/>
        <v>655893</v>
      </c>
      <c r="CI269" s="59">
        <f t="shared" si="259"/>
        <v>1419772992</v>
      </c>
      <c r="CJ269" s="59">
        <f t="shared" si="260"/>
        <v>58010952</v>
      </c>
      <c r="CK269" s="59">
        <f t="shared" si="261"/>
        <v>2853399480</v>
      </c>
    </row>
    <row r="270" spans="60:89" ht="12.75" customHeight="1" x14ac:dyDescent="0.25">
      <c r="BH270" s="58">
        <f t="shared" si="232"/>
        <v>4161846847</v>
      </c>
      <c r="BI270" s="58">
        <f t="shared" si="233"/>
        <v>3175649729</v>
      </c>
      <c r="BJ270" s="59">
        <f t="shared" si="234"/>
        <v>2623350207</v>
      </c>
      <c r="BK270" s="59">
        <f t="shared" si="235"/>
        <v>647143057</v>
      </c>
      <c r="BL270" s="59">
        <f t="shared" si="236"/>
        <v>590920267</v>
      </c>
      <c r="BM270" s="59">
        <f t="shared" si="237"/>
        <v>2118985021</v>
      </c>
      <c r="BN270" s="59">
        <f t="shared" si="238"/>
        <v>7435414</v>
      </c>
      <c r="BO270" s="59">
        <f t="shared" si="239"/>
        <v>4237970042</v>
      </c>
      <c r="BP270" s="59">
        <f t="shared" si="240"/>
        <v>1581067</v>
      </c>
      <c r="BQ270" s="59">
        <f t="shared" si="241"/>
        <v>637535249</v>
      </c>
      <c r="BR270" s="59">
        <f t="shared" si="242"/>
        <v>3211108340</v>
      </c>
      <c r="BS270" s="59">
        <f t="shared" si="243"/>
        <v>1491057580</v>
      </c>
      <c r="BT270" s="59">
        <f t="shared" si="244"/>
        <v>6362260</v>
      </c>
      <c r="BU270" s="59">
        <f t="shared" si="245"/>
        <v>1486490152</v>
      </c>
      <c r="BV270" s="59">
        <f t="shared" si="246"/>
        <v>3205819234</v>
      </c>
      <c r="BW270" s="59">
        <f t="shared" si="247"/>
        <v>2756047318</v>
      </c>
      <c r="BX270" s="59">
        <f t="shared" si="248"/>
        <v>3577243496</v>
      </c>
      <c r="BY270" s="59">
        <f t="shared" si="249"/>
        <v>2867996100</v>
      </c>
      <c r="BZ270" s="59">
        <f t="shared" si="250"/>
        <v>3660233865</v>
      </c>
      <c r="CA270" s="59">
        <f t="shared" si="251"/>
        <v>1899318809</v>
      </c>
      <c r="CB270" s="59">
        <f t="shared" si="252"/>
        <v>15537502</v>
      </c>
      <c r="CC270" s="59">
        <f t="shared" si="253"/>
        <v>1152948903</v>
      </c>
      <c r="CD270" s="59">
        <f t="shared" si="254"/>
        <v>3492291592</v>
      </c>
      <c r="CE270" s="59">
        <f t="shared" si="255"/>
        <v>540017664</v>
      </c>
      <c r="CF270" s="59">
        <f t="shared" si="256"/>
        <v>252894177</v>
      </c>
      <c r="CG270" s="59">
        <f t="shared" si="257"/>
        <v>3687279581</v>
      </c>
      <c r="CH270" s="59">
        <f t="shared" si="258"/>
        <v>4416</v>
      </c>
      <c r="CI270" s="59">
        <f t="shared" si="259"/>
        <v>1082133125</v>
      </c>
      <c r="CJ270" s="59">
        <f t="shared" si="260"/>
        <v>268422847</v>
      </c>
      <c r="CK270" s="59">
        <f t="shared" si="261"/>
        <v>2675962234</v>
      </c>
    </row>
    <row r="271" spans="60:89" ht="12.75" customHeight="1" x14ac:dyDescent="0.25">
      <c r="BH271" s="58">
        <f t="shared" si="232"/>
        <v>391709174</v>
      </c>
      <c r="BI271" s="58">
        <f t="shared" si="233"/>
        <v>1520913907</v>
      </c>
      <c r="BJ271" s="59">
        <f t="shared" si="234"/>
        <v>4114628024</v>
      </c>
      <c r="BK271" s="59">
        <f t="shared" si="235"/>
        <v>520174685</v>
      </c>
      <c r="BL271" s="59">
        <f t="shared" si="236"/>
        <v>3152707707</v>
      </c>
      <c r="BM271" s="59">
        <f t="shared" si="237"/>
        <v>1883112056</v>
      </c>
      <c r="BN271" s="59">
        <f t="shared" si="238"/>
        <v>30736630</v>
      </c>
      <c r="BO271" s="59">
        <f t="shared" si="239"/>
        <v>3766224113</v>
      </c>
      <c r="BP271" s="59">
        <f t="shared" si="240"/>
        <v>2973761592</v>
      </c>
      <c r="BQ271" s="59">
        <f t="shared" si="241"/>
        <v>268435544</v>
      </c>
      <c r="BR271" s="59">
        <f t="shared" si="242"/>
        <v>1319812547</v>
      </c>
      <c r="BS271" s="59">
        <f t="shared" si="243"/>
        <v>1866415653</v>
      </c>
      <c r="BT271" s="59">
        <f t="shared" si="244"/>
        <v>8388802</v>
      </c>
      <c r="BU271" s="59">
        <f t="shared" si="245"/>
        <v>1614545953</v>
      </c>
      <c r="BV271" s="59">
        <f t="shared" si="246"/>
        <v>1333771573</v>
      </c>
      <c r="BW271" s="59">
        <f t="shared" si="247"/>
        <v>2403547860</v>
      </c>
      <c r="BX271" s="59">
        <f t="shared" si="248"/>
        <v>1591197639</v>
      </c>
      <c r="BY271" s="59">
        <f t="shared" si="249"/>
        <v>1643569967</v>
      </c>
      <c r="BZ271" s="59">
        <f t="shared" si="250"/>
        <v>4057497016</v>
      </c>
      <c r="CA271" s="59">
        <f t="shared" si="251"/>
        <v>3419911663</v>
      </c>
      <c r="CB271" s="59">
        <f t="shared" si="252"/>
        <v>66645054</v>
      </c>
      <c r="CC271" s="59">
        <f t="shared" si="253"/>
        <v>3697667034</v>
      </c>
      <c r="CD271" s="59">
        <f t="shared" si="254"/>
        <v>1355824512</v>
      </c>
      <c r="CE271" s="59">
        <f t="shared" si="255"/>
        <v>1104585007</v>
      </c>
      <c r="CF271" s="59">
        <f t="shared" si="256"/>
        <v>2937045631</v>
      </c>
      <c r="CG271" s="59">
        <f t="shared" si="257"/>
        <v>2854311616</v>
      </c>
      <c r="CH271" s="59">
        <f t="shared" si="258"/>
        <v>50905150</v>
      </c>
      <c r="CI271" s="59">
        <f t="shared" si="259"/>
        <v>2283881152</v>
      </c>
      <c r="CJ271" s="59">
        <f t="shared" si="260"/>
        <v>2901880385</v>
      </c>
      <c r="CK271" s="59">
        <f t="shared" si="261"/>
        <v>1984216346</v>
      </c>
    </row>
    <row r="272" spans="60:89" ht="12.75" customHeight="1" x14ac:dyDescent="0.25">
      <c r="BH272" s="58">
        <f t="shared" si="232"/>
        <v>113321103</v>
      </c>
      <c r="BI272" s="58">
        <f t="shared" si="233"/>
        <v>44245413</v>
      </c>
      <c r="BJ272" s="59">
        <f t="shared" si="234"/>
        <v>3923569624</v>
      </c>
      <c r="BK272" s="59">
        <f t="shared" si="235"/>
        <v>3854343113</v>
      </c>
      <c r="BL272" s="59">
        <f t="shared" si="236"/>
        <v>2480126423</v>
      </c>
      <c r="BM272" s="59">
        <f t="shared" si="237"/>
        <v>2982902071</v>
      </c>
      <c r="BN272" s="59">
        <f t="shared" si="238"/>
        <v>27751343</v>
      </c>
      <c r="BO272" s="59">
        <f t="shared" si="239"/>
        <v>1670836847</v>
      </c>
      <c r="BP272" s="59">
        <f t="shared" si="240"/>
        <v>2177935824</v>
      </c>
      <c r="BQ272" s="59">
        <f t="shared" si="241"/>
        <v>2710051073</v>
      </c>
      <c r="BR272" s="59">
        <f t="shared" si="242"/>
        <v>2047824399</v>
      </c>
      <c r="BS272" s="59">
        <f t="shared" si="243"/>
        <v>1417143038</v>
      </c>
      <c r="BT272" s="59">
        <f t="shared" si="244"/>
        <v>479759</v>
      </c>
      <c r="BU272" s="59">
        <f t="shared" si="245"/>
        <v>1075241582</v>
      </c>
      <c r="BV272" s="59">
        <f t="shared" si="246"/>
        <v>2074616224</v>
      </c>
      <c r="BW272" s="59">
        <f t="shared" si="247"/>
        <v>937496721</v>
      </c>
      <c r="BX272" s="59">
        <f t="shared" si="248"/>
        <v>305676034</v>
      </c>
      <c r="BY272" s="59">
        <f t="shared" si="249"/>
        <v>398981033</v>
      </c>
      <c r="BZ272" s="59">
        <f t="shared" si="250"/>
        <v>3230003709</v>
      </c>
      <c r="CA272" s="59">
        <f t="shared" si="251"/>
        <v>3930361359</v>
      </c>
      <c r="CB272" s="59">
        <f t="shared" si="252"/>
        <v>65028856</v>
      </c>
      <c r="CC272" s="59">
        <f t="shared" si="253"/>
        <v>4277477959</v>
      </c>
      <c r="CD272" s="59">
        <f t="shared" si="254"/>
        <v>12544</v>
      </c>
      <c r="CE272" s="59">
        <f t="shared" si="255"/>
        <v>38045193</v>
      </c>
      <c r="CF272" s="59">
        <f t="shared" si="256"/>
        <v>3535654655</v>
      </c>
      <c r="CG272" s="59">
        <f t="shared" si="257"/>
        <v>4253252006</v>
      </c>
      <c r="CH272" s="59">
        <f t="shared" si="258"/>
        <v>44057336</v>
      </c>
      <c r="CI272" s="59">
        <f t="shared" si="259"/>
        <v>4236320774</v>
      </c>
      <c r="CJ272" s="59">
        <f t="shared" si="260"/>
        <v>3512568839</v>
      </c>
      <c r="CK272" s="59">
        <f t="shared" si="261"/>
        <v>58088417</v>
      </c>
    </row>
    <row r="273" spans="60:89" ht="12.75" customHeight="1" x14ac:dyDescent="0.25">
      <c r="BH273" s="58">
        <f t="shared" si="232"/>
        <v>3910974751</v>
      </c>
      <c r="BI273" s="58">
        <f t="shared" si="233"/>
        <v>1551567873</v>
      </c>
      <c r="BJ273" s="59">
        <f t="shared" si="234"/>
        <v>139960723</v>
      </c>
      <c r="BK273" s="59">
        <f t="shared" si="235"/>
        <v>2941989348</v>
      </c>
      <c r="BL273" s="59">
        <f t="shared" si="236"/>
        <v>3356536643</v>
      </c>
      <c r="BM273" s="59">
        <f t="shared" si="237"/>
        <v>660518499</v>
      </c>
      <c r="BN273" s="59">
        <f t="shared" si="238"/>
        <v>2186886</v>
      </c>
      <c r="BO273" s="59">
        <f t="shared" si="239"/>
        <v>1321036999</v>
      </c>
      <c r="BP273" s="59">
        <f t="shared" si="240"/>
        <v>135307523</v>
      </c>
      <c r="BQ273" s="59">
        <f t="shared" si="241"/>
        <v>660222048</v>
      </c>
      <c r="BR273" s="59">
        <f t="shared" si="242"/>
        <v>3225882320</v>
      </c>
      <c r="BS273" s="59">
        <f t="shared" si="243"/>
        <v>2282063751</v>
      </c>
      <c r="BT273" s="59">
        <f t="shared" si="244"/>
        <v>69248</v>
      </c>
      <c r="BU273" s="59">
        <f t="shared" si="245"/>
        <v>134546567</v>
      </c>
      <c r="BV273" s="59">
        <f t="shared" si="246"/>
        <v>3227930710</v>
      </c>
      <c r="BW273" s="59">
        <f t="shared" si="247"/>
        <v>3334007616</v>
      </c>
      <c r="BX273" s="59">
        <f t="shared" si="248"/>
        <v>3921568491</v>
      </c>
      <c r="BY273" s="59">
        <f t="shared" si="249"/>
        <v>540986196</v>
      </c>
      <c r="BZ273" s="59">
        <f t="shared" si="250"/>
        <v>3133673394</v>
      </c>
      <c r="CA273" s="59">
        <f t="shared" si="251"/>
        <v>3577376664</v>
      </c>
      <c r="CB273" s="59">
        <f t="shared" si="252"/>
        <v>6120455</v>
      </c>
      <c r="CC273" s="59">
        <f t="shared" si="253"/>
        <v>3647642935</v>
      </c>
      <c r="CD273" s="59">
        <f t="shared" si="254"/>
        <v>2827485858</v>
      </c>
      <c r="CE273" s="59">
        <f t="shared" si="255"/>
        <v>3820304</v>
      </c>
      <c r="CF273" s="59">
        <f t="shared" si="256"/>
        <v>1400270169</v>
      </c>
      <c r="CG273" s="59">
        <f t="shared" si="257"/>
        <v>4110722252</v>
      </c>
      <c r="CH273" s="59">
        <f t="shared" si="258"/>
        <v>5530625</v>
      </c>
      <c r="CI273" s="59">
        <f t="shared" si="259"/>
        <v>3506471940</v>
      </c>
      <c r="CJ273" s="59">
        <f t="shared" si="260"/>
        <v>1395329374</v>
      </c>
      <c r="CK273" s="59">
        <f t="shared" si="261"/>
        <v>745421307</v>
      </c>
    </row>
    <row r="274" spans="60:89" ht="12.75" customHeight="1" x14ac:dyDescent="0.25">
      <c r="BH274" s="58">
        <f t="shared" si="232"/>
        <v>2896386010</v>
      </c>
      <c r="BI274" s="58">
        <f t="shared" si="233"/>
        <v>1575134428</v>
      </c>
      <c r="BJ274" s="59">
        <f t="shared" si="234"/>
        <v>2778118296</v>
      </c>
      <c r="BK274" s="59">
        <f t="shared" si="235"/>
        <v>426953295</v>
      </c>
      <c r="BL274" s="59">
        <f t="shared" si="236"/>
        <v>2672504177</v>
      </c>
      <c r="BM274" s="59">
        <f t="shared" si="237"/>
        <v>808641940</v>
      </c>
      <c r="BN274" s="59">
        <f t="shared" si="238"/>
        <v>9853666</v>
      </c>
      <c r="BO274" s="59">
        <f t="shared" si="239"/>
        <v>1617283881</v>
      </c>
      <c r="BP274" s="59">
        <f t="shared" si="240"/>
        <v>2231511056</v>
      </c>
      <c r="BQ274" s="59">
        <f t="shared" si="241"/>
        <v>271761412</v>
      </c>
      <c r="BR274" s="59">
        <f t="shared" si="242"/>
        <v>987600361</v>
      </c>
      <c r="BS274" s="59">
        <f t="shared" si="243"/>
        <v>692072411</v>
      </c>
      <c r="BT274" s="59">
        <f t="shared" si="244"/>
        <v>9703648</v>
      </c>
      <c r="BU274" s="59">
        <f t="shared" si="245"/>
        <v>541068041</v>
      </c>
      <c r="BV274" s="59">
        <f t="shared" si="246"/>
        <v>978046731</v>
      </c>
      <c r="BW274" s="59">
        <f t="shared" si="247"/>
        <v>1227220210</v>
      </c>
      <c r="BX274" s="59">
        <f t="shared" si="248"/>
        <v>1681170648</v>
      </c>
      <c r="BY274" s="59">
        <f t="shared" si="249"/>
        <v>613539924</v>
      </c>
      <c r="BZ274" s="59">
        <f t="shared" si="250"/>
        <v>906568824</v>
      </c>
      <c r="CA274" s="59">
        <f t="shared" si="251"/>
        <v>353963304</v>
      </c>
      <c r="CB274" s="59">
        <f t="shared" si="252"/>
        <v>1770642</v>
      </c>
      <c r="CC274" s="59">
        <f t="shared" si="253"/>
        <v>1007324294</v>
      </c>
      <c r="CD274" s="59">
        <f t="shared" si="254"/>
        <v>603988056</v>
      </c>
      <c r="CE274" s="59">
        <f t="shared" si="255"/>
        <v>68222976</v>
      </c>
      <c r="CF274" s="59">
        <f t="shared" si="256"/>
        <v>1379763360</v>
      </c>
      <c r="CG274" s="59">
        <f t="shared" si="257"/>
        <v>831057276</v>
      </c>
      <c r="CH274" s="59">
        <f t="shared" si="258"/>
        <v>1639552</v>
      </c>
      <c r="CI274" s="59">
        <f t="shared" si="259"/>
        <v>805866500</v>
      </c>
      <c r="CJ274" s="59">
        <f t="shared" si="260"/>
        <v>1378254898</v>
      </c>
      <c r="CK274" s="59">
        <f t="shared" si="261"/>
        <v>226648570</v>
      </c>
    </row>
    <row r="275" spans="60:89" ht="12.75" customHeight="1" x14ac:dyDescent="0.25">
      <c r="BH275" s="58">
        <f t="shared" si="232"/>
        <v>1013658188</v>
      </c>
      <c r="BI275" s="58">
        <f t="shared" si="233"/>
        <v>1809468146</v>
      </c>
      <c r="BJ275" s="59">
        <f t="shared" si="234"/>
        <v>1525199354</v>
      </c>
      <c r="BK275" s="59">
        <f t="shared" si="235"/>
        <v>495879144</v>
      </c>
      <c r="BL275" s="59">
        <f t="shared" si="236"/>
        <v>3501576547</v>
      </c>
      <c r="BM275" s="59">
        <f t="shared" si="237"/>
        <v>4097514759</v>
      </c>
      <c r="BN275" s="59">
        <f t="shared" si="238"/>
        <v>23831239</v>
      </c>
      <c r="BO275" s="59">
        <f t="shared" si="239"/>
        <v>3900062223</v>
      </c>
      <c r="BP275" s="59">
        <f t="shared" si="240"/>
        <v>1352700258</v>
      </c>
      <c r="BQ275" s="59">
        <f t="shared" si="241"/>
        <v>336199936</v>
      </c>
      <c r="BR275" s="59">
        <f t="shared" si="242"/>
        <v>2321375385</v>
      </c>
      <c r="BS275" s="59">
        <f t="shared" si="243"/>
        <v>3920994031</v>
      </c>
      <c r="BT275" s="59">
        <f t="shared" si="244"/>
        <v>4792449</v>
      </c>
      <c r="BU275" s="59">
        <f t="shared" si="245"/>
        <v>3895728655</v>
      </c>
      <c r="BV275" s="59">
        <f t="shared" si="246"/>
        <v>2335621726</v>
      </c>
      <c r="BW275" s="59">
        <f t="shared" si="247"/>
        <v>29598944</v>
      </c>
      <c r="BX275" s="59">
        <f t="shared" si="248"/>
        <v>1635794211</v>
      </c>
      <c r="BY275" s="59">
        <f t="shared" si="249"/>
        <v>2544102287</v>
      </c>
      <c r="BZ275" s="59">
        <f t="shared" si="250"/>
        <v>1223026938</v>
      </c>
      <c r="CA275" s="59">
        <f t="shared" si="251"/>
        <v>3822608399</v>
      </c>
      <c r="CB275" s="59">
        <f t="shared" si="252"/>
        <v>61108980</v>
      </c>
      <c r="CC275" s="59">
        <f t="shared" si="253"/>
        <v>2104618032</v>
      </c>
      <c r="CD275" s="59">
        <f t="shared" si="254"/>
        <v>1082140706</v>
      </c>
      <c r="CE275" s="59">
        <f t="shared" si="255"/>
        <v>2206228495</v>
      </c>
      <c r="CF275" s="59">
        <f t="shared" si="256"/>
        <v>694539737</v>
      </c>
      <c r="CG275" s="59">
        <f t="shared" si="257"/>
        <v>1954253696</v>
      </c>
      <c r="CH275" s="59">
        <f t="shared" si="258"/>
        <v>19157200</v>
      </c>
      <c r="CI275" s="59">
        <f t="shared" si="259"/>
        <v>1953597440</v>
      </c>
      <c r="CJ275" s="59">
        <f t="shared" si="260"/>
        <v>717334317</v>
      </c>
      <c r="CK275" s="59">
        <f t="shared" si="261"/>
        <v>151676848</v>
      </c>
    </row>
    <row r="276" spans="60:89" ht="12.75" customHeight="1" x14ac:dyDescent="0.25">
      <c r="BH276" s="58">
        <f t="shared" si="232"/>
        <v>2099228307</v>
      </c>
      <c r="BI276" s="58">
        <f t="shared" si="233"/>
        <v>4188127615</v>
      </c>
      <c r="BJ276" s="59">
        <f t="shared" si="234"/>
        <v>2493795681</v>
      </c>
      <c r="BK276" s="59">
        <f t="shared" si="235"/>
        <v>4234578944</v>
      </c>
      <c r="BL276" s="59">
        <f t="shared" si="236"/>
        <v>19482778</v>
      </c>
      <c r="BM276" s="59">
        <f t="shared" si="237"/>
        <v>3287862552</v>
      </c>
      <c r="BN276" s="59">
        <f t="shared" si="238"/>
        <v>5411125</v>
      </c>
      <c r="BO276" s="59">
        <f t="shared" si="239"/>
        <v>2280757808</v>
      </c>
      <c r="BP276" s="59">
        <f t="shared" si="240"/>
        <v>2115584</v>
      </c>
      <c r="BQ276" s="59">
        <f t="shared" si="241"/>
        <v>3227552768</v>
      </c>
      <c r="BR276" s="59">
        <f t="shared" si="242"/>
        <v>2509047291</v>
      </c>
      <c r="BS276" s="59">
        <f t="shared" si="243"/>
        <v>1067335960</v>
      </c>
      <c r="BT276" s="59">
        <f t="shared" si="244"/>
        <v>305</v>
      </c>
      <c r="BU276" s="59">
        <f t="shared" si="245"/>
        <v>126877712</v>
      </c>
      <c r="BV276" s="59">
        <f t="shared" si="246"/>
        <v>2514457806</v>
      </c>
      <c r="BW276" s="59">
        <f t="shared" si="247"/>
        <v>3094338344</v>
      </c>
      <c r="BX276" s="59">
        <f t="shared" si="248"/>
        <v>1419482516</v>
      </c>
      <c r="BY276" s="59">
        <f t="shared" si="249"/>
        <v>1794853820</v>
      </c>
      <c r="BZ276" s="59">
        <f t="shared" si="250"/>
        <v>1696251602</v>
      </c>
      <c r="CA276" s="59">
        <f t="shared" si="251"/>
        <v>4011140837</v>
      </c>
      <c r="CB276" s="59">
        <f t="shared" si="252"/>
        <v>45256031</v>
      </c>
      <c r="CC276" s="59">
        <f t="shared" si="253"/>
        <v>1769441939</v>
      </c>
      <c r="CD276" s="59">
        <f t="shared" si="254"/>
        <v>1142592656</v>
      </c>
      <c r="CE276" s="59">
        <f t="shared" si="255"/>
        <v>1779499684</v>
      </c>
      <c r="CF276" s="59">
        <f t="shared" si="256"/>
        <v>830548806</v>
      </c>
      <c r="CG276" s="59">
        <f t="shared" si="257"/>
        <v>2246995289</v>
      </c>
      <c r="CH276" s="59">
        <f t="shared" si="258"/>
        <v>8390982</v>
      </c>
      <c r="CI276" s="59">
        <f t="shared" si="259"/>
        <v>23463953</v>
      </c>
      <c r="CJ276" s="59">
        <f t="shared" si="260"/>
        <v>859022873</v>
      </c>
      <c r="CK276" s="59">
        <f t="shared" si="261"/>
        <v>3969509322</v>
      </c>
    </row>
    <row r="277" spans="60:89" ht="12.75" customHeight="1" x14ac:dyDescent="0.25">
      <c r="BH277" s="58">
        <f t="shared" si="232"/>
        <v>1281625572</v>
      </c>
      <c r="BI277" s="58">
        <f t="shared" si="233"/>
        <v>2328591461</v>
      </c>
      <c r="BJ277" s="59">
        <f t="shared" si="234"/>
        <v>1049841752</v>
      </c>
      <c r="BK277" s="59">
        <f t="shared" si="235"/>
        <v>467257951</v>
      </c>
      <c r="BL277" s="59">
        <f t="shared" si="236"/>
        <v>3195872928</v>
      </c>
      <c r="BM277" s="59">
        <f t="shared" si="237"/>
        <v>2956440468</v>
      </c>
      <c r="BN277" s="59">
        <f t="shared" si="238"/>
        <v>16403777</v>
      </c>
      <c r="BO277" s="59">
        <f t="shared" si="239"/>
        <v>1617913641</v>
      </c>
      <c r="BP277" s="59">
        <f t="shared" si="240"/>
        <v>1041301504</v>
      </c>
      <c r="BQ277" s="59">
        <f t="shared" si="241"/>
        <v>269582868</v>
      </c>
      <c r="BR277" s="59">
        <f t="shared" si="242"/>
        <v>2163111672</v>
      </c>
      <c r="BS277" s="59">
        <f t="shared" si="243"/>
        <v>2884532683</v>
      </c>
      <c r="BT277" s="59">
        <f t="shared" si="244"/>
        <v>15352896</v>
      </c>
      <c r="BU277" s="59">
        <f t="shared" si="245"/>
        <v>544104713</v>
      </c>
      <c r="BV277" s="59">
        <f t="shared" si="246"/>
        <v>2148809657</v>
      </c>
      <c r="BW277" s="59">
        <f t="shared" si="247"/>
        <v>3414236898</v>
      </c>
      <c r="BX277" s="59">
        <f t="shared" si="248"/>
        <v>1230915469</v>
      </c>
      <c r="BY277" s="59">
        <f t="shared" si="249"/>
        <v>1716096379</v>
      </c>
      <c r="BZ277" s="59">
        <f t="shared" si="250"/>
        <v>3814298211</v>
      </c>
      <c r="CA277" s="59">
        <f t="shared" si="251"/>
        <v>1590843281</v>
      </c>
      <c r="CB277" s="59">
        <f t="shared" si="252"/>
        <v>15838409</v>
      </c>
      <c r="CC277" s="59">
        <f t="shared" si="253"/>
        <v>833579307</v>
      </c>
      <c r="CD277" s="59">
        <f t="shared" si="254"/>
        <v>1096286721</v>
      </c>
      <c r="CE277" s="59">
        <f t="shared" si="255"/>
        <v>1178600721</v>
      </c>
      <c r="CF277" s="59">
        <f t="shared" si="256"/>
        <v>2852640238</v>
      </c>
      <c r="CG277" s="59">
        <f t="shared" si="257"/>
        <v>949738218</v>
      </c>
      <c r="CH277" s="59">
        <f t="shared" si="258"/>
        <v>99528</v>
      </c>
      <c r="CI277" s="59">
        <f t="shared" si="259"/>
        <v>814434346</v>
      </c>
      <c r="CJ277" s="59">
        <f t="shared" si="260"/>
        <v>2868279591</v>
      </c>
      <c r="CK277" s="59">
        <f t="shared" si="261"/>
        <v>154448833</v>
      </c>
    </row>
    <row r="278" spans="60:89" ht="12.75" customHeight="1" x14ac:dyDescent="0.25">
      <c r="BH278" s="58">
        <f t="shared" si="232"/>
        <v>2790578089</v>
      </c>
      <c r="BI278" s="58">
        <f t="shared" si="233"/>
        <v>1266362592</v>
      </c>
      <c r="BJ278" s="59">
        <f t="shared" si="234"/>
        <v>1126470660</v>
      </c>
      <c r="BK278" s="59">
        <f t="shared" si="235"/>
        <v>1479929345</v>
      </c>
      <c r="BL278" s="59">
        <f t="shared" si="236"/>
        <v>42354984</v>
      </c>
      <c r="BM278" s="59">
        <f t="shared" si="237"/>
        <v>145779676</v>
      </c>
      <c r="BN278" s="59">
        <f t="shared" si="238"/>
        <v>17601104</v>
      </c>
      <c r="BO278" s="59">
        <f t="shared" si="239"/>
        <v>291559352</v>
      </c>
      <c r="BP278" s="59">
        <f t="shared" si="240"/>
        <v>33816576</v>
      </c>
      <c r="BQ278" s="59">
        <f t="shared" si="241"/>
        <v>137390592</v>
      </c>
      <c r="BR278" s="59">
        <f t="shared" si="242"/>
        <v>1101192492</v>
      </c>
      <c r="BS278" s="59">
        <f t="shared" si="243"/>
        <v>1350927837</v>
      </c>
      <c r="BT278" s="59">
        <f t="shared" si="244"/>
        <v>16814080</v>
      </c>
      <c r="BU278" s="59">
        <f t="shared" si="245"/>
        <v>268469656</v>
      </c>
      <c r="BV278" s="59">
        <f t="shared" si="246"/>
        <v>1085165436</v>
      </c>
      <c r="BW278" s="59">
        <f t="shared" si="247"/>
        <v>1105547877</v>
      </c>
      <c r="BX278" s="59">
        <f t="shared" si="248"/>
        <v>942665635</v>
      </c>
      <c r="BY278" s="59">
        <f t="shared" si="249"/>
        <v>4124213044</v>
      </c>
      <c r="BZ278" s="59">
        <f t="shared" si="250"/>
        <v>3908924575</v>
      </c>
      <c r="CA278" s="59">
        <f t="shared" si="251"/>
        <v>3440249851</v>
      </c>
      <c r="CB278" s="59">
        <f t="shared" si="252"/>
        <v>32800442</v>
      </c>
      <c r="CC278" s="59">
        <f t="shared" si="253"/>
        <v>1340507909</v>
      </c>
      <c r="CD278" s="59">
        <f t="shared" si="254"/>
        <v>674063491</v>
      </c>
      <c r="CE278" s="59">
        <f t="shared" si="255"/>
        <v>3305245488</v>
      </c>
      <c r="CF278" s="59">
        <f t="shared" si="256"/>
        <v>3503463228</v>
      </c>
      <c r="CG278" s="59">
        <f t="shared" si="257"/>
        <v>953971919</v>
      </c>
      <c r="CH278" s="59">
        <f t="shared" si="258"/>
        <v>13638200</v>
      </c>
      <c r="CI278" s="59">
        <f t="shared" si="259"/>
        <v>147063813</v>
      </c>
      <c r="CJ278" s="59">
        <f t="shared" si="260"/>
        <v>3508987270</v>
      </c>
      <c r="CK278" s="59">
        <f t="shared" si="261"/>
        <v>2000352202</v>
      </c>
    </row>
    <row r="279" spans="60:89" ht="12.75" customHeight="1" x14ac:dyDescent="0.25">
      <c r="BH279" s="58">
        <f t="shared" si="232"/>
        <v>752693524</v>
      </c>
      <c r="BI279" s="58">
        <f t="shared" si="233"/>
        <v>2043699073</v>
      </c>
      <c r="BJ279" s="59">
        <f t="shared" si="234"/>
        <v>1897129344</v>
      </c>
      <c r="BK279" s="59">
        <f t="shared" si="235"/>
        <v>2214399089</v>
      </c>
      <c r="BL279" s="59">
        <f t="shared" si="236"/>
        <v>3806472139</v>
      </c>
      <c r="BM279" s="59">
        <f t="shared" si="237"/>
        <v>17299992</v>
      </c>
      <c r="BN279" s="59">
        <f t="shared" si="238"/>
        <v>29642646</v>
      </c>
      <c r="BO279" s="59">
        <f t="shared" si="239"/>
        <v>34599985</v>
      </c>
      <c r="BP279" s="59">
        <f t="shared" si="240"/>
        <v>1610753408</v>
      </c>
      <c r="BQ279" s="59">
        <f t="shared" si="241"/>
        <v>17106960</v>
      </c>
      <c r="BR279" s="59">
        <f t="shared" si="242"/>
        <v>2482094667</v>
      </c>
      <c r="BS279" s="59">
        <f t="shared" si="243"/>
        <v>2197485161</v>
      </c>
      <c r="BT279" s="59">
        <f t="shared" si="244"/>
        <v>29377026</v>
      </c>
      <c r="BU279" s="59">
        <f t="shared" si="245"/>
        <v>34272289</v>
      </c>
      <c r="BV279" s="59">
        <f t="shared" si="246"/>
        <v>2452983261</v>
      </c>
      <c r="BW279" s="59">
        <f t="shared" si="247"/>
        <v>2163540568</v>
      </c>
      <c r="BX279" s="59">
        <f t="shared" si="248"/>
        <v>1871489420</v>
      </c>
      <c r="BY279" s="59">
        <f t="shared" si="249"/>
        <v>2176618841</v>
      </c>
      <c r="BZ279" s="59">
        <f t="shared" si="250"/>
        <v>1663069988</v>
      </c>
      <c r="CA279" s="59">
        <f t="shared" si="251"/>
        <v>1448862506</v>
      </c>
      <c r="CB279" s="59">
        <f t="shared" si="252"/>
        <v>20025399</v>
      </c>
      <c r="CC279" s="59">
        <f t="shared" si="253"/>
        <v>2452303345</v>
      </c>
      <c r="CD279" s="59">
        <f t="shared" si="254"/>
        <v>1660954884</v>
      </c>
      <c r="CE279" s="59">
        <f t="shared" si="255"/>
        <v>1605896</v>
      </c>
      <c r="CF279" s="59">
        <f t="shared" si="256"/>
        <v>212649640</v>
      </c>
      <c r="CG279" s="59">
        <f t="shared" si="257"/>
        <v>3622269555</v>
      </c>
      <c r="CH279" s="59">
        <f t="shared" si="258"/>
        <v>2129952</v>
      </c>
      <c r="CI279" s="59">
        <f t="shared" si="259"/>
        <v>2451775601</v>
      </c>
      <c r="CJ279" s="59">
        <f t="shared" si="260"/>
        <v>228415135</v>
      </c>
      <c r="CK279" s="59">
        <f t="shared" si="261"/>
        <v>1171021698</v>
      </c>
    </row>
  </sheetData>
  <mergeCells count="4">
    <mergeCell ref="B1:BZ1"/>
    <mergeCell ref="B2:C2"/>
    <mergeCell ref="D2:BZ2"/>
    <mergeCell ref="B3:BZ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🔐 SHA-512</vt:lpstr>
      <vt:lpstr>📖 Как работает SHA-512</vt:lpstr>
      <vt:lpstr>📦 Константы SHA-512</vt:lpstr>
      <vt:lpstr>⚙️ Вычисление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Гаврилов Филипп Дамирович</cp:lastModifiedBy>
  <cp:revision>0</cp:revision>
  <dcterms:created xsi:type="dcterms:W3CDTF">2026-05-23T12:34:17Z</dcterms:created>
  <dcterms:modified xsi:type="dcterms:W3CDTF">2026-05-26T03:52:25Z</dcterms:modified>
  <dc:language>en-US</dc:language>
</cp:coreProperties>
</file>