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28800" windowHeight="13230" tabRatio="500"/>
  </bookViews>
  <sheets>
    <sheet name="🔐 SHA-256" sheetId="1" r:id="rId1"/>
    <sheet name="📖 How SHA-256 Works" sheetId="2" r:id="rId2"/>
    <sheet name="🔤 ASCII Encoding" sheetId="3" r:id="rId3"/>
    <sheet name="📦 SHA-256 Constants" sheetId="4" r:id="rId4"/>
    <sheet name="⚙️ Computation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69" i="5" l="1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S22" i="5"/>
  <c r="AJ22" i="5"/>
  <c r="AJ21" i="5"/>
  <c r="AN20" i="5"/>
  <c r="AJ20" i="5"/>
  <c r="AI20" i="5"/>
  <c r="AN19" i="5"/>
  <c r="AS21" i="5" s="1"/>
  <c r="AJ19" i="5"/>
  <c r="AN18" i="5"/>
  <c r="AJ18" i="5"/>
  <c r="AI18" i="5"/>
  <c r="AN17" i="5"/>
  <c r="AJ17" i="5"/>
  <c r="AN16" i="5"/>
  <c r="AJ16" i="5"/>
  <c r="AI16" i="5"/>
  <c r="AN15" i="5"/>
  <c r="AJ15" i="5"/>
  <c r="AN14" i="5"/>
  <c r="AJ14" i="5"/>
  <c r="AN13" i="5"/>
  <c r="AJ13" i="5"/>
  <c r="AN12" i="5"/>
  <c r="AJ12" i="5"/>
  <c r="AI12" i="5"/>
  <c r="AN11" i="5"/>
  <c r="AJ11" i="5"/>
  <c r="AN10" i="5"/>
  <c r="AJ10" i="5"/>
  <c r="AN9" i="5"/>
  <c r="AJ9" i="5"/>
  <c r="AN8" i="5"/>
  <c r="AJ8" i="5"/>
  <c r="AN7" i="5"/>
  <c r="AJ7" i="5"/>
  <c r="AI7" i="5"/>
  <c r="AN6" i="5"/>
  <c r="AJ6" i="5"/>
  <c r="AB6" i="5"/>
  <c r="AA6" i="5"/>
  <c r="Z6" i="5"/>
  <c r="AC6" i="5" s="1"/>
  <c r="V6" i="5"/>
  <c r="U6" i="5"/>
  <c r="T6" i="5"/>
  <c r="S6" i="5"/>
  <c r="W6" i="5" s="1"/>
  <c r="P6" i="5"/>
  <c r="O6" i="5"/>
  <c r="N6" i="5"/>
  <c r="Q6" i="5" s="1"/>
  <c r="L6" i="5"/>
  <c r="K6" i="5"/>
  <c r="M6" i="5" s="1"/>
  <c r="J6" i="5"/>
  <c r="I6" i="5"/>
  <c r="J7" i="5" s="1"/>
  <c r="H6" i="5"/>
  <c r="I7" i="5" s="1"/>
  <c r="J8" i="5" s="1"/>
  <c r="F6" i="5"/>
  <c r="E6" i="5"/>
  <c r="F7" i="5" s="1"/>
  <c r="D6" i="5"/>
  <c r="E7" i="5" s="1"/>
  <c r="F8" i="5" s="1"/>
  <c r="AN5" i="5"/>
  <c r="E10" i="3"/>
  <c r="I10" i="3" s="1"/>
  <c r="C9" i="3"/>
  <c r="D9" i="3" s="1"/>
  <c r="D8" i="3"/>
  <c r="K8" i="3" s="1"/>
  <c r="C8" i="3"/>
  <c r="C7" i="3"/>
  <c r="D7" i="3" s="1"/>
  <c r="C6" i="3"/>
  <c r="D6" i="3" s="1"/>
  <c r="C5" i="3"/>
  <c r="D5" i="3" s="1"/>
  <c r="D4" i="3"/>
  <c r="K4" i="3" s="1"/>
  <c r="C4" i="3"/>
  <c r="C3" i="3"/>
  <c r="D3" i="3" s="1"/>
  <c r="L5" i="3" l="1"/>
  <c r="H5" i="3"/>
  <c r="K5" i="3"/>
  <c r="G5" i="3"/>
  <c r="J5" i="3"/>
  <c r="F5" i="3"/>
  <c r="M5" i="3"/>
  <c r="I5" i="3"/>
  <c r="E5" i="3"/>
  <c r="J3" i="3"/>
  <c r="F3" i="3"/>
  <c r="M3" i="3"/>
  <c r="I3" i="3"/>
  <c r="E3" i="3"/>
  <c r="L3" i="3"/>
  <c r="H3" i="3"/>
  <c r="K3" i="3"/>
  <c r="G3" i="3"/>
  <c r="M6" i="3"/>
  <c r="I6" i="3"/>
  <c r="E6" i="3"/>
  <c r="L6" i="3"/>
  <c r="H6" i="3"/>
  <c r="K6" i="3"/>
  <c r="G6" i="3"/>
  <c r="J6" i="3"/>
  <c r="F6" i="3"/>
  <c r="L9" i="3"/>
  <c r="H9" i="3"/>
  <c r="K9" i="3"/>
  <c r="G9" i="3"/>
  <c r="J9" i="3"/>
  <c r="F9" i="3"/>
  <c r="M9" i="3"/>
  <c r="I9" i="3"/>
  <c r="E9" i="3"/>
  <c r="X6" i="5"/>
  <c r="Y6" i="5" s="1"/>
  <c r="AG6" i="5" s="1"/>
  <c r="J7" i="3"/>
  <c r="F7" i="3"/>
  <c r="M7" i="3"/>
  <c r="I7" i="3"/>
  <c r="E7" i="3"/>
  <c r="L7" i="3"/>
  <c r="H7" i="3"/>
  <c r="K7" i="3"/>
  <c r="G7" i="3"/>
  <c r="H4" i="3"/>
  <c r="L4" i="3"/>
  <c r="H8" i="3"/>
  <c r="L8" i="3"/>
  <c r="AI6" i="5"/>
  <c r="P7" i="5"/>
  <c r="AO25" i="5"/>
  <c r="AI11" i="5"/>
  <c r="R6" i="5"/>
  <c r="AO33" i="5"/>
  <c r="AI19" i="5"/>
  <c r="E4" i="3"/>
  <c r="I4" i="3"/>
  <c r="M4" i="3"/>
  <c r="E8" i="3"/>
  <c r="I8" i="3"/>
  <c r="M8" i="3"/>
  <c r="F4" i="3"/>
  <c r="J4" i="3"/>
  <c r="F8" i="3"/>
  <c r="J8" i="3"/>
  <c r="AO29" i="5"/>
  <c r="AI15" i="5"/>
  <c r="AO22" i="5"/>
  <c r="AD6" i="5"/>
  <c r="G4" i="3"/>
  <c r="G8" i="3"/>
  <c r="AO21" i="5"/>
  <c r="AI8" i="5"/>
  <c r="AR21" i="5"/>
  <c r="AO24" i="5"/>
  <c r="AO28" i="5"/>
  <c r="AO32" i="5"/>
  <c r="AI10" i="5"/>
  <c r="AO27" i="5"/>
  <c r="AI14" i="5"/>
  <c r="AO31" i="5"/>
  <c r="AO35" i="5"/>
  <c r="AO23" i="5"/>
  <c r="AI9" i="5"/>
  <c r="AI13" i="5"/>
  <c r="AI17" i="5"/>
  <c r="AI21" i="5"/>
  <c r="AR22" i="5"/>
  <c r="AO26" i="5"/>
  <c r="AO30" i="5"/>
  <c r="AO34" i="5"/>
  <c r="G6" i="5" l="1"/>
  <c r="AP30" i="5"/>
  <c r="AQ30" i="5" s="1"/>
  <c r="AP35" i="5"/>
  <c r="AQ35" i="5" s="1"/>
  <c r="AP27" i="5"/>
  <c r="AQ27" i="5"/>
  <c r="AP28" i="5"/>
  <c r="AQ28" i="5" s="1"/>
  <c r="AP22" i="5"/>
  <c r="AQ22" i="5" s="1"/>
  <c r="AP33" i="5"/>
  <c r="AQ33" i="5"/>
  <c r="AP25" i="5"/>
  <c r="AQ25" i="5"/>
  <c r="AP34" i="5"/>
  <c r="AQ34" i="5" s="1"/>
  <c r="AP32" i="5"/>
  <c r="AQ32" i="5" s="1"/>
  <c r="AP21" i="5"/>
  <c r="AQ21" i="5"/>
  <c r="AE6" i="5"/>
  <c r="AF6" i="5" s="1"/>
  <c r="AH6" i="5" s="1"/>
  <c r="C6" i="5" s="1"/>
  <c r="AP26" i="5"/>
  <c r="AQ26" i="5" s="1"/>
  <c r="AP31" i="5"/>
  <c r="AQ31" i="5"/>
  <c r="AP24" i="5"/>
  <c r="AQ24" i="5" s="1"/>
  <c r="AT22" i="5"/>
  <c r="AU22" i="5" s="1"/>
  <c r="AP23" i="5"/>
  <c r="AQ23" i="5"/>
  <c r="AT21" i="5"/>
  <c r="AU21" i="5"/>
  <c r="AP29" i="5"/>
  <c r="AQ29" i="5"/>
  <c r="Z7" i="5" l="1"/>
  <c r="N7" i="5"/>
  <c r="AA7" i="5"/>
  <c r="O7" i="5"/>
  <c r="AB7" i="5"/>
  <c r="D7" i="5"/>
  <c r="AN22" i="5"/>
  <c r="AN21" i="5"/>
  <c r="S7" i="5"/>
  <c r="K7" i="5"/>
  <c r="M7" i="5" s="1"/>
  <c r="U7" i="5"/>
  <c r="T7" i="5"/>
  <c r="L7" i="5"/>
  <c r="H7" i="5"/>
  <c r="I8" i="5" s="1"/>
  <c r="J9" i="5" s="1"/>
  <c r="P8" i="5" l="1"/>
  <c r="E8" i="5"/>
  <c r="F9" i="5" s="1"/>
  <c r="AO36" i="5"/>
  <c r="AS23" i="5"/>
  <c r="AR23" i="5"/>
  <c r="AI22" i="5"/>
  <c r="AO37" i="5"/>
  <c r="AR24" i="5"/>
  <c r="AI23" i="5"/>
  <c r="AS24" i="5"/>
  <c r="Q7" i="5"/>
  <c r="R7" i="5" s="1"/>
  <c r="V7" i="5"/>
  <c r="W7" i="5" s="1"/>
  <c r="AC7" i="5"/>
  <c r="AD7" i="5" s="1"/>
  <c r="X7" i="5" l="1"/>
  <c r="Y7" i="5" s="1"/>
  <c r="AG7" i="5" s="1"/>
  <c r="AE7" i="5"/>
  <c r="AF7" i="5" s="1"/>
  <c r="AH7" i="5" s="1"/>
  <c r="AT24" i="5"/>
  <c r="AU24" i="5" s="1"/>
  <c r="AN24" i="5" s="1"/>
  <c r="AP37" i="5"/>
  <c r="AQ37" i="5" s="1"/>
  <c r="AP36" i="5"/>
  <c r="AQ36" i="5" s="1"/>
  <c r="AT23" i="5"/>
  <c r="AU23" i="5" s="1"/>
  <c r="AN23" i="5" s="1"/>
  <c r="AO39" i="5" l="1"/>
  <c r="AR26" i="5"/>
  <c r="AI25" i="5"/>
  <c r="AS26" i="5"/>
  <c r="AO38" i="5"/>
  <c r="AS25" i="5"/>
  <c r="AR25" i="5"/>
  <c r="AI24" i="5"/>
  <c r="C7" i="5"/>
  <c r="G7" i="5"/>
  <c r="AT26" i="5" l="1"/>
  <c r="AU26" i="5" s="1"/>
  <c r="AN26" i="5" s="1"/>
  <c r="AT25" i="5"/>
  <c r="AU25" i="5" s="1"/>
  <c r="AN25" i="5" s="1"/>
  <c r="AA8" i="5"/>
  <c r="O8" i="5"/>
  <c r="AB8" i="5"/>
  <c r="Z8" i="5"/>
  <c r="N8" i="5"/>
  <c r="D8" i="5"/>
  <c r="AP39" i="5"/>
  <c r="AQ39" i="5" s="1"/>
  <c r="S8" i="5"/>
  <c r="K8" i="5"/>
  <c r="M8" i="5" s="1"/>
  <c r="H8" i="5"/>
  <c r="I9" i="5" s="1"/>
  <c r="J10" i="5" s="1"/>
  <c r="T8" i="5"/>
  <c r="L8" i="5"/>
  <c r="U8" i="5"/>
  <c r="AP38" i="5"/>
  <c r="AQ38" i="5" s="1"/>
  <c r="AO40" i="5" l="1"/>
  <c r="AS27" i="5"/>
  <c r="AR27" i="5"/>
  <c r="AI26" i="5"/>
  <c r="AO41" i="5"/>
  <c r="AR28" i="5"/>
  <c r="AI27" i="5"/>
  <c r="AS28" i="5"/>
  <c r="E9" i="5"/>
  <c r="F10" i="5" s="1"/>
  <c r="P9" i="5"/>
  <c r="AC8" i="5"/>
  <c r="AD8" i="5" s="1"/>
  <c r="W8" i="5"/>
  <c r="V8" i="5"/>
  <c r="R8" i="5"/>
  <c r="Q8" i="5"/>
  <c r="AE8" i="5" l="1"/>
  <c r="AF8" i="5" s="1"/>
  <c r="AH8" i="5" s="1"/>
  <c r="X8" i="5"/>
  <c r="Y8" i="5" s="1"/>
  <c r="AG8" i="5" s="1"/>
  <c r="AP40" i="5"/>
  <c r="AQ40" i="5" s="1"/>
  <c r="AT28" i="5"/>
  <c r="AU28" i="5" s="1"/>
  <c r="AN28" i="5" s="1"/>
  <c r="AT27" i="5"/>
  <c r="AU27" i="5" s="1"/>
  <c r="AN27" i="5" s="1"/>
  <c r="AP41" i="5"/>
  <c r="AQ41" i="5" s="1"/>
  <c r="AO43" i="5" l="1"/>
  <c r="AR30" i="5"/>
  <c r="AI29" i="5"/>
  <c r="AS30" i="5"/>
  <c r="C8" i="5"/>
  <c r="G8" i="5"/>
  <c r="AO42" i="5"/>
  <c r="AS29" i="5"/>
  <c r="AR29" i="5"/>
  <c r="AI28" i="5"/>
  <c r="AP42" i="5" l="1"/>
  <c r="AQ42" i="5" s="1"/>
  <c r="S9" i="5"/>
  <c r="K9" i="5"/>
  <c r="U9" i="5"/>
  <c r="L9" i="5"/>
  <c r="T9" i="5"/>
  <c r="H9" i="5"/>
  <c r="I10" i="5" s="1"/>
  <c r="J11" i="5" s="1"/>
  <c r="AT30" i="5"/>
  <c r="AU30" i="5" s="1"/>
  <c r="AN30" i="5" s="1"/>
  <c r="AT29" i="5"/>
  <c r="AU29" i="5" s="1"/>
  <c r="AN29" i="5" s="1"/>
  <c r="AA9" i="5"/>
  <c r="O9" i="5"/>
  <c r="Z9" i="5"/>
  <c r="N9" i="5"/>
  <c r="D9" i="5"/>
  <c r="AB9" i="5"/>
  <c r="AP43" i="5"/>
  <c r="AQ43" i="5" s="1"/>
  <c r="AO45" i="5" l="1"/>
  <c r="AR32" i="5"/>
  <c r="AI31" i="5"/>
  <c r="AS32" i="5"/>
  <c r="AO44" i="5"/>
  <c r="AS31" i="5"/>
  <c r="AR31" i="5"/>
  <c r="AI30" i="5"/>
  <c r="Q9" i="5"/>
  <c r="R9" i="5" s="1"/>
  <c r="M9" i="5"/>
  <c r="AC9" i="5"/>
  <c r="AD9" i="5" s="1"/>
  <c r="V9" i="5"/>
  <c r="W9" i="5" s="1"/>
  <c r="P10" i="5"/>
  <c r="E10" i="5"/>
  <c r="F11" i="5" s="1"/>
  <c r="X9" i="5" l="1"/>
  <c r="Y9" i="5" s="1"/>
  <c r="AG9" i="5" s="1"/>
  <c r="AE9" i="5"/>
  <c r="AF9" i="5" s="1"/>
  <c r="AH9" i="5" s="1"/>
  <c r="AP44" i="5"/>
  <c r="AQ44" i="5" s="1"/>
  <c r="AT31" i="5"/>
  <c r="AU31" i="5" s="1"/>
  <c r="AN31" i="5" s="1"/>
  <c r="AT32" i="5"/>
  <c r="AU32" i="5" s="1"/>
  <c r="AN32" i="5" s="1"/>
  <c r="AP45" i="5"/>
  <c r="AQ45" i="5" s="1"/>
  <c r="AO46" i="5" l="1"/>
  <c r="AS33" i="5"/>
  <c r="AR33" i="5"/>
  <c r="AI32" i="5"/>
  <c r="AO47" i="5"/>
  <c r="AR34" i="5"/>
  <c r="AI33" i="5"/>
  <c r="AS34" i="5"/>
  <c r="C9" i="5"/>
  <c r="G9" i="5"/>
  <c r="T10" i="5" l="1"/>
  <c r="L10" i="5"/>
  <c r="H10" i="5"/>
  <c r="I11" i="5" s="1"/>
  <c r="J12" i="5" s="1"/>
  <c r="S10" i="5"/>
  <c r="K10" i="5"/>
  <c r="M10" i="5" s="1"/>
  <c r="U10" i="5"/>
  <c r="AB10" i="5"/>
  <c r="D10" i="5"/>
  <c r="AA10" i="5"/>
  <c r="O10" i="5"/>
  <c r="Z10" i="5"/>
  <c r="N10" i="5"/>
  <c r="AT33" i="5"/>
  <c r="AU33" i="5" s="1"/>
  <c r="AN33" i="5" s="1"/>
  <c r="AP46" i="5"/>
  <c r="AQ46" i="5" s="1"/>
  <c r="AT34" i="5"/>
  <c r="AU34" i="5" s="1"/>
  <c r="AN34" i="5" s="1"/>
  <c r="AP47" i="5"/>
  <c r="AQ47" i="5" s="1"/>
  <c r="AO49" i="5" l="1"/>
  <c r="AS36" i="5"/>
  <c r="AR36" i="5"/>
  <c r="AI35" i="5"/>
  <c r="AS35" i="5"/>
  <c r="AR35" i="5"/>
  <c r="AO48" i="5"/>
  <c r="AI34" i="5"/>
  <c r="Q10" i="5"/>
  <c r="R10" i="5" s="1"/>
  <c r="E11" i="5"/>
  <c r="F12" i="5" s="1"/>
  <c r="P11" i="5"/>
  <c r="V10" i="5"/>
  <c r="W10" i="5" s="1"/>
  <c r="AC10" i="5"/>
  <c r="AD10" i="5" s="1"/>
  <c r="X10" i="5" l="1"/>
  <c r="Y10" i="5" s="1"/>
  <c r="AG10" i="5" s="1"/>
  <c r="AE10" i="5"/>
  <c r="AF10" i="5" s="1"/>
  <c r="AH10" i="5" s="1"/>
  <c r="AT36" i="5"/>
  <c r="AU36" i="5" s="1"/>
  <c r="AN36" i="5" s="1"/>
  <c r="AP48" i="5"/>
  <c r="AQ48" i="5" s="1"/>
  <c r="AT35" i="5"/>
  <c r="AU35" i="5" s="1"/>
  <c r="AN35" i="5" s="1"/>
  <c r="AP49" i="5"/>
  <c r="AQ49" i="5" s="1"/>
  <c r="AO51" i="5" l="1"/>
  <c r="AS38" i="5"/>
  <c r="AI37" i="5"/>
  <c r="AR38" i="5"/>
  <c r="AO50" i="5"/>
  <c r="AS37" i="5"/>
  <c r="AR37" i="5"/>
  <c r="AI36" i="5"/>
  <c r="C10" i="5"/>
  <c r="G10" i="5"/>
  <c r="AP51" i="5" l="1"/>
  <c r="AQ51" i="5" s="1"/>
  <c r="AT37" i="5"/>
  <c r="AU37" i="5" s="1"/>
  <c r="AN37" i="5" s="1"/>
  <c r="AB11" i="5"/>
  <c r="D11" i="5"/>
  <c r="AA11" i="5"/>
  <c r="O11" i="5"/>
  <c r="Z11" i="5"/>
  <c r="N11" i="5"/>
  <c r="AT38" i="5"/>
  <c r="AU38" i="5" s="1"/>
  <c r="AN38" i="5" s="1"/>
  <c r="U11" i="5"/>
  <c r="T11" i="5"/>
  <c r="L11" i="5"/>
  <c r="H11" i="5"/>
  <c r="I12" i="5" s="1"/>
  <c r="J13" i="5" s="1"/>
  <c r="S11" i="5"/>
  <c r="K11" i="5"/>
  <c r="M11" i="5" s="1"/>
  <c r="AP50" i="5"/>
  <c r="AQ50" i="5" s="1"/>
  <c r="AO53" i="5" l="1"/>
  <c r="AS40" i="5"/>
  <c r="AI39" i="5"/>
  <c r="AR40" i="5"/>
  <c r="AO52" i="5"/>
  <c r="AS39" i="5"/>
  <c r="AR39" i="5"/>
  <c r="AI38" i="5"/>
  <c r="Q11" i="5"/>
  <c r="R11" i="5" s="1"/>
  <c r="E12" i="5"/>
  <c r="F13" i="5" s="1"/>
  <c r="P12" i="5"/>
  <c r="W11" i="5"/>
  <c r="V11" i="5"/>
  <c r="AC11" i="5"/>
  <c r="AD11" i="5"/>
  <c r="AT39" i="5" l="1"/>
  <c r="AU39" i="5" s="1"/>
  <c r="AN39" i="5" s="1"/>
  <c r="AP53" i="5"/>
  <c r="AQ53" i="5" s="1"/>
  <c r="AT40" i="5"/>
  <c r="AU40" i="5" s="1"/>
  <c r="AN40" i="5" s="1"/>
  <c r="Y11" i="5"/>
  <c r="AG11" i="5" s="1"/>
  <c r="X11" i="5"/>
  <c r="AP52" i="5"/>
  <c r="AQ52" i="5" s="1"/>
  <c r="AF11" i="5"/>
  <c r="AH11" i="5" s="1"/>
  <c r="AE11" i="5"/>
  <c r="AO55" i="5" l="1"/>
  <c r="AS42" i="5"/>
  <c r="AR42" i="5"/>
  <c r="AI41" i="5"/>
  <c r="AO54" i="5"/>
  <c r="AS41" i="5"/>
  <c r="AR41" i="5"/>
  <c r="AI40" i="5"/>
  <c r="C11" i="5"/>
  <c r="G11" i="5"/>
  <c r="AT41" i="5" l="1"/>
  <c r="AU41" i="5" s="1"/>
  <c r="AN41" i="5" s="1"/>
  <c r="AP55" i="5"/>
  <c r="AQ55" i="5" s="1"/>
  <c r="U12" i="5"/>
  <c r="T12" i="5"/>
  <c r="L12" i="5"/>
  <c r="H12" i="5"/>
  <c r="I13" i="5" s="1"/>
  <c r="J14" i="5" s="1"/>
  <c r="K12" i="5"/>
  <c r="S12" i="5"/>
  <c r="Z12" i="5"/>
  <c r="N12" i="5"/>
  <c r="AB12" i="5"/>
  <c r="D12" i="5"/>
  <c r="O12" i="5"/>
  <c r="AA12" i="5"/>
  <c r="AP54" i="5"/>
  <c r="AQ54" i="5" s="1"/>
  <c r="AT42" i="5"/>
  <c r="AU42" i="5" s="1"/>
  <c r="AN42" i="5" s="1"/>
  <c r="AO57" i="5" l="1"/>
  <c r="AS44" i="5"/>
  <c r="AR44" i="5"/>
  <c r="AI43" i="5"/>
  <c r="AO56" i="5"/>
  <c r="AS43" i="5"/>
  <c r="AR43" i="5"/>
  <c r="AI42" i="5"/>
  <c r="Q12" i="5"/>
  <c r="R12" i="5" s="1"/>
  <c r="AC12" i="5"/>
  <c r="AD12" i="5" s="1"/>
  <c r="E13" i="5"/>
  <c r="F14" i="5" s="1"/>
  <c r="P13" i="5"/>
  <c r="V12" i="5"/>
  <c r="W12" i="5" s="1"/>
  <c r="M12" i="5"/>
  <c r="AE12" i="5" l="1"/>
  <c r="AF12" i="5" s="1"/>
  <c r="AH12" i="5" s="1"/>
  <c r="X12" i="5"/>
  <c r="Y12" i="5" s="1"/>
  <c r="AG12" i="5" s="1"/>
  <c r="AT43" i="5"/>
  <c r="AU43" i="5" s="1"/>
  <c r="AN43" i="5" s="1"/>
  <c r="AT44" i="5"/>
  <c r="AU44" i="5" s="1"/>
  <c r="AN44" i="5" s="1"/>
  <c r="AP57" i="5"/>
  <c r="AQ57" i="5" s="1"/>
  <c r="AP56" i="5"/>
  <c r="AQ56" i="5" s="1"/>
  <c r="AO59" i="5" l="1"/>
  <c r="AS46" i="5"/>
  <c r="AI45" i="5"/>
  <c r="AR46" i="5"/>
  <c r="AO58" i="5"/>
  <c r="AS45" i="5"/>
  <c r="AR45" i="5"/>
  <c r="AI44" i="5"/>
  <c r="C12" i="5"/>
  <c r="G12" i="5"/>
  <c r="AA13" i="5" l="1"/>
  <c r="O13" i="5"/>
  <c r="Z13" i="5"/>
  <c r="N13" i="5"/>
  <c r="D13" i="5"/>
  <c r="AB13" i="5"/>
  <c r="S13" i="5"/>
  <c r="K13" i="5"/>
  <c r="U13" i="5"/>
  <c r="T13" i="5"/>
  <c r="H13" i="5"/>
  <c r="I14" i="5" s="1"/>
  <c r="J15" i="5" s="1"/>
  <c r="L13" i="5"/>
  <c r="AP58" i="5"/>
  <c r="AQ58" i="5" s="1"/>
  <c r="AT45" i="5"/>
  <c r="AU45" i="5" s="1"/>
  <c r="AN45" i="5" s="1"/>
  <c r="AP59" i="5"/>
  <c r="AQ59" i="5" s="1"/>
  <c r="AT46" i="5"/>
  <c r="AU46" i="5" s="1"/>
  <c r="AN46" i="5" s="1"/>
  <c r="AO61" i="5" l="1"/>
  <c r="AS48" i="5"/>
  <c r="AI47" i="5"/>
  <c r="AR48" i="5"/>
  <c r="AO60" i="5"/>
  <c r="AS47" i="5"/>
  <c r="AR47" i="5"/>
  <c r="AI46" i="5"/>
  <c r="Q13" i="5"/>
  <c r="R13" i="5" s="1"/>
  <c r="M13" i="5"/>
  <c r="V13" i="5"/>
  <c r="W13" i="5" s="1"/>
  <c r="AC13" i="5"/>
  <c r="AD13" i="5" s="1"/>
  <c r="P14" i="5"/>
  <c r="E14" i="5"/>
  <c r="F15" i="5" s="1"/>
  <c r="AE13" i="5" l="1"/>
  <c r="AF13" i="5" s="1"/>
  <c r="AH13" i="5" s="1"/>
  <c r="X13" i="5"/>
  <c r="Y13" i="5" s="1"/>
  <c r="AG13" i="5" s="1"/>
  <c r="AP60" i="5"/>
  <c r="AQ60" i="5" s="1"/>
  <c r="AT47" i="5"/>
  <c r="AU47" i="5" s="1"/>
  <c r="AN47" i="5" s="1"/>
  <c r="AQ61" i="5"/>
  <c r="AP61" i="5"/>
  <c r="AT48" i="5"/>
  <c r="AU48" i="5" s="1"/>
  <c r="AN48" i="5" s="1"/>
  <c r="AO62" i="5" l="1"/>
  <c r="AS49" i="5"/>
  <c r="AI48" i="5"/>
  <c r="AR49" i="5"/>
  <c r="AO63" i="5"/>
  <c r="AS50" i="5"/>
  <c r="AR50" i="5"/>
  <c r="AI49" i="5"/>
  <c r="C13" i="5"/>
  <c r="G13" i="5"/>
  <c r="AP63" i="5" l="1"/>
  <c r="AQ63" i="5" s="1"/>
  <c r="T14" i="5"/>
  <c r="L14" i="5"/>
  <c r="H14" i="5"/>
  <c r="I15" i="5" s="1"/>
  <c r="J16" i="5" s="1"/>
  <c r="S14" i="5"/>
  <c r="K14" i="5"/>
  <c r="M14" i="5" s="1"/>
  <c r="U14" i="5"/>
  <c r="AT50" i="5"/>
  <c r="AU50" i="5" s="1"/>
  <c r="AN50" i="5" s="1"/>
  <c r="AB14" i="5"/>
  <c r="D14" i="5"/>
  <c r="AA14" i="5"/>
  <c r="O14" i="5"/>
  <c r="Z14" i="5"/>
  <c r="N14" i="5"/>
  <c r="AT49" i="5"/>
  <c r="AU49" i="5" s="1"/>
  <c r="AN49" i="5" s="1"/>
  <c r="AP62" i="5"/>
  <c r="AQ62" i="5" s="1"/>
  <c r="AO65" i="5" l="1"/>
  <c r="AS52" i="5"/>
  <c r="AR52" i="5"/>
  <c r="AI51" i="5"/>
  <c r="AO64" i="5"/>
  <c r="AS51" i="5"/>
  <c r="AI50" i="5"/>
  <c r="AR51" i="5"/>
  <c r="Q14" i="5"/>
  <c r="R14" i="5" s="1"/>
  <c r="E15" i="5"/>
  <c r="F16" i="5" s="1"/>
  <c r="P15" i="5"/>
  <c r="AC14" i="5"/>
  <c r="AD14" i="5" s="1"/>
  <c r="V14" i="5"/>
  <c r="W14" i="5" s="1"/>
  <c r="AE14" i="5" l="1"/>
  <c r="AF14" i="5" s="1"/>
  <c r="AH14" i="5" s="1"/>
  <c r="X14" i="5"/>
  <c r="Y14" i="5" s="1"/>
  <c r="AG14" i="5" s="1"/>
  <c r="AT51" i="5"/>
  <c r="AU51" i="5" s="1"/>
  <c r="AN51" i="5" s="1"/>
  <c r="AP64" i="5"/>
  <c r="AQ64" i="5" s="1"/>
  <c r="AP65" i="5"/>
  <c r="AQ65" i="5" s="1"/>
  <c r="AU52" i="5"/>
  <c r="AN52" i="5" s="1"/>
  <c r="AT52" i="5"/>
  <c r="AO66" i="5" l="1"/>
  <c r="AS53" i="5"/>
  <c r="AR53" i="5"/>
  <c r="AI52" i="5"/>
  <c r="C14" i="5"/>
  <c r="G14" i="5"/>
  <c r="AO67" i="5"/>
  <c r="AS54" i="5"/>
  <c r="AR54" i="5"/>
  <c r="AI53" i="5"/>
  <c r="AP67" i="5" l="1"/>
  <c r="AQ67" i="5" s="1"/>
  <c r="AB15" i="5"/>
  <c r="D15" i="5"/>
  <c r="AA15" i="5"/>
  <c r="O15" i="5"/>
  <c r="Z15" i="5"/>
  <c r="N15" i="5"/>
  <c r="AT54" i="5"/>
  <c r="AU54" i="5" s="1"/>
  <c r="AN54" i="5" s="1"/>
  <c r="AP66" i="5"/>
  <c r="AQ66" i="5" s="1"/>
  <c r="U15" i="5"/>
  <c r="T15" i="5"/>
  <c r="L15" i="5"/>
  <c r="H15" i="5"/>
  <c r="I16" i="5" s="1"/>
  <c r="J17" i="5" s="1"/>
  <c r="S15" i="5"/>
  <c r="K15" i="5"/>
  <c r="M15" i="5" s="1"/>
  <c r="AT53" i="5"/>
  <c r="AU53" i="5" s="1"/>
  <c r="AN53" i="5" s="1"/>
  <c r="AO68" i="5" l="1"/>
  <c r="AS55" i="5"/>
  <c r="AR55" i="5"/>
  <c r="AI54" i="5"/>
  <c r="AS56" i="5"/>
  <c r="AR56" i="5"/>
  <c r="AI55" i="5"/>
  <c r="Q15" i="5"/>
  <c r="R15" i="5" s="1"/>
  <c r="E16" i="5"/>
  <c r="F17" i="5" s="1"/>
  <c r="P16" i="5"/>
  <c r="AC15" i="5"/>
  <c r="AD15" i="5" s="1"/>
  <c r="V15" i="5"/>
  <c r="W15" i="5" s="1"/>
  <c r="X15" i="5" l="1"/>
  <c r="Y15" i="5" s="1"/>
  <c r="AG15" i="5" s="1"/>
  <c r="AE15" i="5"/>
  <c r="AF15" i="5" s="1"/>
  <c r="AH15" i="5" s="1"/>
  <c r="AT55" i="5"/>
  <c r="AU55" i="5" s="1"/>
  <c r="AN55" i="5" s="1"/>
  <c r="AT56" i="5"/>
  <c r="AU56" i="5" s="1"/>
  <c r="AN56" i="5" s="1"/>
  <c r="AP68" i="5"/>
  <c r="AQ68" i="5" s="1"/>
  <c r="AS58" i="5" l="1"/>
  <c r="AR58" i="5"/>
  <c r="AI57" i="5"/>
  <c r="AS57" i="5"/>
  <c r="AR57" i="5"/>
  <c r="AI56" i="5"/>
  <c r="C15" i="5"/>
  <c r="G15" i="5"/>
  <c r="U16" i="5" l="1"/>
  <c r="T16" i="5"/>
  <c r="L16" i="5"/>
  <c r="H16" i="5"/>
  <c r="I17" i="5" s="1"/>
  <c r="J18" i="5" s="1"/>
  <c r="K16" i="5"/>
  <c r="S16" i="5"/>
  <c r="AU58" i="5"/>
  <c r="AN58" i="5" s="1"/>
  <c r="AT58" i="5"/>
  <c r="Z16" i="5"/>
  <c r="N16" i="5"/>
  <c r="AB16" i="5"/>
  <c r="D16" i="5"/>
  <c r="AA16" i="5"/>
  <c r="O16" i="5"/>
  <c r="AT57" i="5"/>
  <c r="AU57" i="5" s="1"/>
  <c r="AN57" i="5" s="1"/>
  <c r="AS59" i="5" l="1"/>
  <c r="AI58" i="5"/>
  <c r="AR59" i="5"/>
  <c r="E17" i="5"/>
  <c r="F18" i="5" s="1"/>
  <c r="P17" i="5"/>
  <c r="Q16" i="5"/>
  <c r="R16" i="5" s="1"/>
  <c r="V16" i="5"/>
  <c r="W16" i="5" s="1"/>
  <c r="AS60" i="5"/>
  <c r="AR60" i="5"/>
  <c r="AI59" i="5"/>
  <c r="AC16" i="5"/>
  <c r="AD16" i="5" s="1"/>
  <c r="M16" i="5"/>
  <c r="AE16" i="5" l="1"/>
  <c r="AF16" i="5" s="1"/>
  <c r="AH16" i="5" s="1"/>
  <c r="X16" i="5"/>
  <c r="Y16" i="5" s="1"/>
  <c r="AG16" i="5" s="1"/>
  <c r="AT60" i="5"/>
  <c r="AU60" i="5" s="1"/>
  <c r="AN60" i="5" s="1"/>
  <c r="AT59" i="5"/>
  <c r="AU59" i="5" s="1"/>
  <c r="AN59" i="5" s="1"/>
  <c r="AS61" i="5" l="1"/>
  <c r="AR61" i="5"/>
  <c r="AI60" i="5"/>
  <c r="AS62" i="5"/>
  <c r="AR62" i="5"/>
  <c r="AI61" i="5"/>
  <c r="C16" i="5"/>
  <c r="G16" i="5"/>
  <c r="AA17" i="5" l="1"/>
  <c r="O17" i="5"/>
  <c r="Z17" i="5"/>
  <c r="N17" i="5"/>
  <c r="AB17" i="5"/>
  <c r="D17" i="5"/>
  <c r="AT62" i="5"/>
  <c r="AU62" i="5" s="1"/>
  <c r="AN62" i="5" s="1"/>
  <c r="AT61" i="5"/>
  <c r="AU61" i="5" s="1"/>
  <c r="AN61" i="5" s="1"/>
  <c r="S17" i="5"/>
  <c r="K17" i="5"/>
  <c r="M17" i="5" s="1"/>
  <c r="U17" i="5"/>
  <c r="L17" i="5"/>
  <c r="T17" i="5"/>
  <c r="H17" i="5"/>
  <c r="I18" i="5" s="1"/>
  <c r="J19" i="5" s="1"/>
  <c r="AS63" i="5" l="1"/>
  <c r="AR63" i="5"/>
  <c r="AI62" i="5"/>
  <c r="AS64" i="5"/>
  <c r="AR64" i="5"/>
  <c r="AI63" i="5"/>
  <c r="Q17" i="5"/>
  <c r="R17" i="5" s="1"/>
  <c r="V17" i="5"/>
  <c r="W17" i="5" s="1"/>
  <c r="AC17" i="5"/>
  <c r="AD17" i="5" s="1"/>
  <c r="P18" i="5"/>
  <c r="E18" i="5"/>
  <c r="F19" i="5" s="1"/>
  <c r="X17" i="5" l="1"/>
  <c r="Y17" i="5" s="1"/>
  <c r="AG17" i="5" s="1"/>
  <c r="AE17" i="5"/>
  <c r="AF17" i="5" s="1"/>
  <c r="AH17" i="5" s="1"/>
  <c r="AT63" i="5"/>
  <c r="AU63" i="5" s="1"/>
  <c r="AN63" i="5" s="1"/>
  <c r="AT64" i="5"/>
  <c r="AU64" i="5" s="1"/>
  <c r="AN64" i="5" s="1"/>
  <c r="AS66" i="5" l="1"/>
  <c r="AR66" i="5"/>
  <c r="AI65" i="5"/>
  <c r="AS65" i="5"/>
  <c r="AI64" i="5"/>
  <c r="AR65" i="5"/>
  <c r="C17" i="5"/>
  <c r="G17" i="5"/>
  <c r="T18" i="5" l="1"/>
  <c r="L18" i="5"/>
  <c r="H18" i="5"/>
  <c r="I19" i="5" s="1"/>
  <c r="J20" i="5" s="1"/>
  <c r="S18" i="5"/>
  <c r="K18" i="5"/>
  <c r="U18" i="5"/>
  <c r="AB18" i="5"/>
  <c r="D18" i="5"/>
  <c r="AA18" i="5"/>
  <c r="O18" i="5"/>
  <c r="Z18" i="5"/>
  <c r="N18" i="5"/>
  <c r="AT65" i="5"/>
  <c r="AU65" i="5" s="1"/>
  <c r="AN65" i="5" s="1"/>
  <c r="AT66" i="5"/>
  <c r="AU66" i="5" s="1"/>
  <c r="AN66" i="5" s="1"/>
  <c r="AS68" i="5" l="1"/>
  <c r="AR68" i="5"/>
  <c r="AI67" i="5"/>
  <c r="AS67" i="5"/>
  <c r="AI66" i="5"/>
  <c r="AR67" i="5"/>
  <c r="Q18" i="5"/>
  <c r="R18" i="5" s="1"/>
  <c r="E19" i="5"/>
  <c r="F20" i="5" s="1"/>
  <c r="P19" i="5"/>
  <c r="V18" i="5"/>
  <c r="W18" i="5" s="1"/>
  <c r="AC18" i="5"/>
  <c r="AD18" i="5" s="1"/>
  <c r="M18" i="5"/>
  <c r="AE18" i="5" l="1"/>
  <c r="AF18" i="5" s="1"/>
  <c r="AH18" i="5" s="1"/>
  <c r="X18" i="5"/>
  <c r="Y18" i="5" s="1"/>
  <c r="AG18" i="5" s="1"/>
  <c r="AT68" i="5"/>
  <c r="AU68" i="5" s="1"/>
  <c r="AN68" i="5" s="1"/>
  <c r="AI69" i="5" s="1"/>
  <c r="AT67" i="5"/>
  <c r="AU67" i="5" s="1"/>
  <c r="AN67" i="5" s="1"/>
  <c r="AI68" i="5" s="1"/>
  <c r="C18" i="5" l="1"/>
  <c r="G18" i="5"/>
  <c r="U19" i="5" l="1"/>
  <c r="T19" i="5"/>
  <c r="L19" i="5"/>
  <c r="H19" i="5"/>
  <c r="I20" i="5" s="1"/>
  <c r="J21" i="5" s="1"/>
  <c r="S19" i="5"/>
  <c r="K19" i="5"/>
  <c r="AB19" i="5"/>
  <c r="D19" i="5"/>
  <c r="AA19" i="5"/>
  <c r="O19" i="5"/>
  <c r="N19" i="5"/>
  <c r="Z19" i="5"/>
  <c r="Q19" i="5" l="1"/>
  <c r="R19" i="5" s="1"/>
  <c r="AC19" i="5"/>
  <c r="AD19" i="5" s="1"/>
  <c r="E20" i="5"/>
  <c r="F21" i="5" s="1"/>
  <c r="P20" i="5"/>
  <c r="M19" i="5"/>
  <c r="V19" i="5"/>
  <c r="W19" i="5" s="1"/>
  <c r="X19" i="5" l="1"/>
  <c r="Y19" i="5" s="1"/>
  <c r="AG19" i="5" s="1"/>
  <c r="AE19" i="5"/>
  <c r="AF19" i="5" s="1"/>
  <c r="AH19" i="5" s="1"/>
  <c r="C19" i="5" l="1"/>
  <c r="G19" i="5"/>
  <c r="U20" i="5" l="1"/>
  <c r="T20" i="5"/>
  <c r="L20" i="5"/>
  <c r="H20" i="5"/>
  <c r="I21" i="5" s="1"/>
  <c r="J22" i="5" s="1"/>
  <c r="S20" i="5"/>
  <c r="K20" i="5"/>
  <c r="M20" i="5" s="1"/>
  <c r="Z20" i="5"/>
  <c r="N20" i="5"/>
  <c r="AB20" i="5"/>
  <c r="D20" i="5"/>
  <c r="O20" i="5"/>
  <c r="AA20" i="5"/>
  <c r="Q20" i="5" l="1"/>
  <c r="R20" i="5" s="1"/>
  <c r="AC20" i="5"/>
  <c r="AD20" i="5" s="1"/>
  <c r="E21" i="5"/>
  <c r="F22" i="5" s="1"/>
  <c r="P21" i="5"/>
  <c r="V20" i="5"/>
  <c r="W20" i="5" s="1"/>
  <c r="AE20" i="5" l="1"/>
  <c r="AF20" i="5" s="1"/>
  <c r="AH20" i="5" s="1"/>
  <c r="X20" i="5"/>
  <c r="Y20" i="5" s="1"/>
  <c r="AG20" i="5" s="1"/>
  <c r="C20" i="5" l="1"/>
  <c r="G20" i="5"/>
  <c r="S21" i="5" l="1"/>
  <c r="K21" i="5"/>
  <c r="U21" i="5"/>
  <c r="H21" i="5"/>
  <c r="I22" i="5" s="1"/>
  <c r="J23" i="5" s="1"/>
  <c r="T21" i="5"/>
  <c r="L21" i="5"/>
  <c r="AA21" i="5"/>
  <c r="O21" i="5"/>
  <c r="Z21" i="5"/>
  <c r="N21" i="5"/>
  <c r="D21" i="5"/>
  <c r="AB21" i="5"/>
  <c r="Q21" i="5" l="1"/>
  <c r="R21" i="5" s="1"/>
  <c r="E22" i="5"/>
  <c r="F23" i="5" s="1"/>
  <c r="P22" i="5"/>
  <c r="M21" i="5"/>
  <c r="AC21" i="5"/>
  <c r="AD21" i="5" s="1"/>
  <c r="V21" i="5"/>
  <c r="W21" i="5" s="1"/>
  <c r="X21" i="5" l="1"/>
  <c r="Y21" i="5" s="1"/>
  <c r="AG21" i="5" s="1"/>
  <c r="AE21" i="5"/>
  <c r="AF21" i="5" s="1"/>
  <c r="AH21" i="5" s="1"/>
  <c r="C21" i="5" l="1"/>
  <c r="G21" i="5"/>
  <c r="U22" i="5" l="1"/>
  <c r="T22" i="5"/>
  <c r="L22" i="5"/>
  <c r="H22" i="5"/>
  <c r="I23" i="5" s="1"/>
  <c r="J24" i="5" s="1"/>
  <c r="S22" i="5"/>
  <c r="K22" i="5"/>
  <c r="M22" i="5" s="1"/>
  <c r="AB22" i="5"/>
  <c r="D22" i="5"/>
  <c r="AA22" i="5"/>
  <c r="O22" i="5"/>
  <c r="N22" i="5"/>
  <c r="Z22" i="5"/>
  <c r="Q22" i="5" l="1"/>
  <c r="R22" i="5" s="1"/>
  <c r="AC22" i="5"/>
  <c r="AD22" i="5" s="1"/>
  <c r="E23" i="5"/>
  <c r="F24" i="5" s="1"/>
  <c r="P23" i="5"/>
  <c r="V22" i="5"/>
  <c r="W22" i="5" s="1"/>
  <c r="AE22" i="5" l="1"/>
  <c r="AF22" i="5" s="1"/>
  <c r="AH22" i="5" s="1"/>
  <c r="X22" i="5"/>
  <c r="Y22" i="5" s="1"/>
  <c r="AG22" i="5" s="1"/>
  <c r="C22" i="5" l="1"/>
  <c r="G22" i="5"/>
  <c r="S23" i="5" l="1"/>
  <c r="K23" i="5"/>
  <c r="U23" i="5"/>
  <c r="L23" i="5"/>
  <c r="T23" i="5"/>
  <c r="H23" i="5"/>
  <c r="I24" i="5" s="1"/>
  <c r="J25" i="5" s="1"/>
  <c r="AA23" i="5"/>
  <c r="O23" i="5"/>
  <c r="Z23" i="5"/>
  <c r="N23" i="5"/>
  <c r="AB23" i="5"/>
  <c r="D23" i="5"/>
  <c r="E24" i="5" l="1"/>
  <c r="F25" i="5" s="1"/>
  <c r="P24" i="5"/>
  <c r="M23" i="5"/>
  <c r="Q23" i="5"/>
  <c r="R23" i="5" s="1"/>
  <c r="AC23" i="5"/>
  <c r="AD23" i="5" s="1"/>
  <c r="V23" i="5"/>
  <c r="W23" i="5" s="1"/>
  <c r="X23" i="5" l="1"/>
  <c r="Y23" i="5" s="1"/>
  <c r="AG23" i="5" s="1"/>
  <c r="AE23" i="5"/>
  <c r="AF23" i="5" s="1"/>
  <c r="AH23" i="5" s="1"/>
  <c r="C23" i="5" l="1"/>
  <c r="G23" i="5"/>
  <c r="U24" i="5" l="1"/>
  <c r="T24" i="5"/>
  <c r="L24" i="5"/>
  <c r="H24" i="5"/>
  <c r="I25" i="5" s="1"/>
  <c r="J26" i="5" s="1"/>
  <c r="S24" i="5"/>
  <c r="K24" i="5"/>
  <c r="M24" i="5" s="1"/>
  <c r="AB24" i="5"/>
  <c r="D24" i="5"/>
  <c r="AA24" i="5"/>
  <c r="O24" i="5"/>
  <c r="N24" i="5"/>
  <c r="Z24" i="5"/>
  <c r="AC24" i="5" l="1"/>
  <c r="AD24" i="5" s="1"/>
  <c r="E25" i="5"/>
  <c r="F26" i="5" s="1"/>
  <c r="P25" i="5"/>
  <c r="Q24" i="5"/>
  <c r="R24" i="5" s="1"/>
  <c r="V24" i="5"/>
  <c r="W24" i="5" s="1"/>
  <c r="X24" i="5" l="1"/>
  <c r="Y24" i="5" s="1"/>
  <c r="AG24" i="5" s="1"/>
  <c r="AE24" i="5"/>
  <c r="AF24" i="5" s="1"/>
  <c r="AH24" i="5" s="1"/>
  <c r="C24" i="5" l="1"/>
  <c r="G24" i="5"/>
  <c r="S25" i="5" l="1"/>
  <c r="K25" i="5"/>
  <c r="M25" i="5" s="1"/>
  <c r="U25" i="5"/>
  <c r="T25" i="5"/>
  <c r="L25" i="5"/>
  <c r="H25" i="5"/>
  <c r="I26" i="5" s="1"/>
  <c r="J27" i="5" s="1"/>
  <c r="AA25" i="5"/>
  <c r="O25" i="5"/>
  <c r="Z25" i="5"/>
  <c r="N25" i="5"/>
  <c r="D25" i="5"/>
  <c r="AB25" i="5"/>
  <c r="Q25" i="5" l="1"/>
  <c r="R25" i="5" s="1"/>
  <c r="E26" i="5"/>
  <c r="F27" i="5" s="1"/>
  <c r="P26" i="5"/>
  <c r="AC25" i="5"/>
  <c r="AD25" i="5" s="1"/>
  <c r="W25" i="5"/>
  <c r="V25" i="5"/>
  <c r="AE25" i="5" l="1"/>
  <c r="AF25" i="5" s="1"/>
  <c r="AH25" i="5" s="1"/>
  <c r="X25" i="5"/>
  <c r="Y25" i="5" s="1"/>
  <c r="AG25" i="5" s="1"/>
  <c r="C25" i="5" l="1"/>
  <c r="G25" i="5"/>
  <c r="U26" i="5" l="1"/>
  <c r="T26" i="5"/>
  <c r="L26" i="5"/>
  <c r="H26" i="5"/>
  <c r="I27" i="5" s="1"/>
  <c r="J28" i="5" s="1"/>
  <c r="S26" i="5"/>
  <c r="K26" i="5"/>
  <c r="AB26" i="5"/>
  <c r="D26" i="5"/>
  <c r="AA26" i="5"/>
  <c r="O26" i="5"/>
  <c r="Z26" i="5"/>
  <c r="N26" i="5"/>
  <c r="E27" i="5" l="1"/>
  <c r="F28" i="5" s="1"/>
  <c r="P27" i="5"/>
  <c r="M26" i="5"/>
  <c r="Q26" i="5"/>
  <c r="R26" i="5" s="1"/>
  <c r="AC26" i="5"/>
  <c r="AD26" i="5" s="1"/>
  <c r="V26" i="5"/>
  <c r="W26" i="5" s="1"/>
  <c r="X26" i="5" l="1"/>
  <c r="Y26" i="5" s="1"/>
  <c r="AG26" i="5" s="1"/>
  <c r="AE26" i="5"/>
  <c r="AF26" i="5" s="1"/>
  <c r="AH26" i="5" s="1"/>
  <c r="C26" i="5" l="1"/>
  <c r="G26" i="5"/>
  <c r="S27" i="5" l="1"/>
  <c r="K27" i="5"/>
  <c r="U27" i="5"/>
  <c r="L27" i="5"/>
  <c r="H27" i="5"/>
  <c r="I28" i="5" s="1"/>
  <c r="J29" i="5" s="1"/>
  <c r="T27" i="5"/>
  <c r="AA27" i="5"/>
  <c r="O27" i="5"/>
  <c r="Z27" i="5"/>
  <c r="N27" i="5"/>
  <c r="AB27" i="5"/>
  <c r="D27" i="5"/>
  <c r="E28" i="5" l="1"/>
  <c r="F29" i="5" s="1"/>
  <c r="P28" i="5"/>
  <c r="M27" i="5"/>
  <c r="R27" i="5"/>
  <c r="Q27" i="5"/>
  <c r="AC27" i="5"/>
  <c r="AD27" i="5" s="1"/>
  <c r="V27" i="5"/>
  <c r="W27" i="5" s="1"/>
  <c r="X27" i="5" l="1"/>
  <c r="Y27" i="5" s="1"/>
  <c r="AG27" i="5" s="1"/>
  <c r="AE27" i="5"/>
  <c r="AF27" i="5" s="1"/>
  <c r="AH27" i="5" s="1"/>
  <c r="C27" i="5" l="1"/>
  <c r="G27" i="5"/>
  <c r="U28" i="5" l="1"/>
  <c r="T28" i="5"/>
  <c r="L28" i="5"/>
  <c r="H28" i="5"/>
  <c r="I29" i="5" s="1"/>
  <c r="J30" i="5" s="1"/>
  <c r="S28" i="5"/>
  <c r="K28" i="5"/>
  <c r="AB28" i="5"/>
  <c r="D28" i="5"/>
  <c r="AA28" i="5"/>
  <c r="O28" i="5"/>
  <c r="N28" i="5"/>
  <c r="Z28" i="5"/>
  <c r="Q28" i="5" l="1"/>
  <c r="R28" i="5" s="1"/>
  <c r="AC28" i="5"/>
  <c r="AD28" i="5" s="1"/>
  <c r="E29" i="5"/>
  <c r="F30" i="5" s="1"/>
  <c r="P29" i="5"/>
  <c r="M28" i="5"/>
  <c r="V28" i="5"/>
  <c r="W28" i="5" s="1"/>
  <c r="X28" i="5" l="1"/>
  <c r="Y28" i="5" s="1"/>
  <c r="AG28" i="5" s="1"/>
  <c r="AE28" i="5"/>
  <c r="AF28" i="5" s="1"/>
  <c r="AH28" i="5" s="1"/>
  <c r="C28" i="5" l="1"/>
  <c r="G28" i="5"/>
  <c r="S29" i="5" l="1"/>
  <c r="K29" i="5"/>
  <c r="U29" i="5"/>
  <c r="T29" i="5"/>
  <c r="L29" i="5"/>
  <c r="H29" i="5"/>
  <c r="I30" i="5" s="1"/>
  <c r="J31" i="5" s="1"/>
  <c r="AA29" i="5"/>
  <c r="O29" i="5"/>
  <c r="Z29" i="5"/>
  <c r="N29" i="5"/>
  <c r="D29" i="5"/>
  <c r="AB29" i="5"/>
  <c r="AC29" i="5" l="1"/>
  <c r="AD29" i="5" s="1"/>
  <c r="E30" i="5"/>
  <c r="F31" i="5" s="1"/>
  <c r="P30" i="5"/>
  <c r="Q29" i="5"/>
  <c r="R29" i="5" s="1"/>
  <c r="M29" i="5"/>
  <c r="V29" i="5"/>
  <c r="W29" i="5" s="1"/>
  <c r="X29" i="5" l="1"/>
  <c r="Y29" i="5" s="1"/>
  <c r="AG29" i="5" s="1"/>
  <c r="AE29" i="5"/>
  <c r="AF29" i="5" s="1"/>
  <c r="AH29" i="5" s="1"/>
  <c r="C29" i="5" l="1"/>
  <c r="G29" i="5"/>
  <c r="U30" i="5" l="1"/>
  <c r="T30" i="5"/>
  <c r="L30" i="5"/>
  <c r="H30" i="5"/>
  <c r="I31" i="5" s="1"/>
  <c r="J32" i="5" s="1"/>
  <c r="S30" i="5"/>
  <c r="K30" i="5"/>
  <c r="M30" i="5" s="1"/>
  <c r="AB30" i="5"/>
  <c r="D30" i="5"/>
  <c r="AA30" i="5"/>
  <c r="O30" i="5"/>
  <c r="Z30" i="5"/>
  <c r="N30" i="5"/>
  <c r="Q30" i="5" l="1"/>
  <c r="R30" i="5" s="1"/>
  <c r="E31" i="5"/>
  <c r="F32" i="5" s="1"/>
  <c r="P31" i="5"/>
  <c r="AC30" i="5"/>
  <c r="AD30" i="5" s="1"/>
  <c r="V30" i="5"/>
  <c r="W30" i="5" s="1"/>
  <c r="AE30" i="5" l="1"/>
  <c r="AF30" i="5" s="1"/>
  <c r="AH30" i="5" s="1"/>
  <c r="X30" i="5"/>
  <c r="Y30" i="5" s="1"/>
  <c r="AG30" i="5" s="1"/>
  <c r="C30" i="5" l="1"/>
  <c r="G30" i="5"/>
  <c r="S31" i="5" l="1"/>
  <c r="K31" i="5"/>
  <c r="U31" i="5"/>
  <c r="L31" i="5"/>
  <c r="H31" i="5"/>
  <c r="I32" i="5" s="1"/>
  <c r="J33" i="5" s="1"/>
  <c r="T31" i="5"/>
  <c r="AA31" i="5"/>
  <c r="O31" i="5"/>
  <c r="Z31" i="5"/>
  <c r="N31" i="5"/>
  <c r="AB31" i="5"/>
  <c r="D31" i="5"/>
  <c r="M31" i="5" l="1"/>
  <c r="E32" i="5"/>
  <c r="F33" i="5" s="1"/>
  <c r="P32" i="5"/>
  <c r="R31" i="5"/>
  <c r="Q31" i="5"/>
  <c r="AC31" i="5"/>
  <c r="AD31" i="5" s="1"/>
  <c r="W31" i="5"/>
  <c r="V31" i="5"/>
  <c r="AE31" i="5" l="1"/>
  <c r="AF31" i="5" s="1"/>
  <c r="AH31" i="5" s="1"/>
  <c r="X31" i="5"/>
  <c r="Y31" i="5" s="1"/>
  <c r="AG31" i="5" s="1"/>
  <c r="C31" i="5" l="1"/>
  <c r="G31" i="5"/>
  <c r="U32" i="5" l="1"/>
  <c r="T32" i="5"/>
  <c r="L32" i="5"/>
  <c r="H32" i="5"/>
  <c r="I33" i="5" s="1"/>
  <c r="J34" i="5" s="1"/>
  <c r="S32" i="5"/>
  <c r="K32" i="5"/>
  <c r="AB32" i="5"/>
  <c r="D32" i="5"/>
  <c r="AA32" i="5"/>
  <c r="O32" i="5"/>
  <c r="N32" i="5"/>
  <c r="Z32" i="5"/>
  <c r="AC32" i="5" l="1"/>
  <c r="AD32" i="5" s="1"/>
  <c r="E33" i="5"/>
  <c r="F34" i="5" s="1"/>
  <c r="P33" i="5"/>
  <c r="Q32" i="5"/>
  <c r="R32" i="5" s="1"/>
  <c r="M32" i="5"/>
  <c r="V32" i="5"/>
  <c r="W32" i="5" s="1"/>
  <c r="X32" i="5" l="1"/>
  <c r="Y32" i="5" s="1"/>
  <c r="AG32" i="5" s="1"/>
  <c r="AE32" i="5"/>
  <c r="AF32" i="5" s="1"/>
  <c r="AH32" i="5" s="1"/>
  <c r="C32" i="5" l="1"/>
  <c r="G32" i="5"/>
  <c r="S33" i="5" l="1"/>
  <c r="K33" i="5"/>
  <c r="U33" i="5"/>
  <c r="T33" i="5"/>
  <c r="L33" i="5"/>
  <c r="H33" i="5"/>
  <c r="I34" i="5" s="1"/>
  <c r="J35" i="5" s="1"/>
  <c r="AA33" i="5"/>
  <c r="O33" i="5"/>
  <c r="Z33" i="5"/>
  <c r="N33" i="5"/>
  <c r="D33" i="5"/>
  <c r="AB33" i="5"/>
  <c r="Q33" i="5" l="1"/>
  <c r="R33" i="5" s="1"/>
  <c r="AC33" i="5"/>
  <c r="AD33" i="5" s="1"/>
  <c r="E34" i="5"/>
  <c r="F35" i="5" s="1"/>
  <c r="P34" i="5"/>
  <c r="M33" i="5"/>
  <c r="V33" i="5"/>
  <c r="W33" i="5" s="1"/>
  <c r="X33" i="5" l="1"/>
  <c r="Y33" i="5" s="1"/>
  <c r="AG33" i="5" s="1"/>
  <c r="AE33" i="5"/>
  <c r="AF33" i="5" s="1"/>
  <c r="AH33" i="5" s="1"/>
  <c r="C33" i="5" l="1"/>
  <c r="G33" i="5"/>
  <c r="U34" i="5" l="1"/>
  <c r="T34" i="5"/>
  <c r="L34" i="5"/>
  <c r="H34" i="5"/>
  <c r="I35" i="5" s="1"/>
  <c r="J36" i="5" s="1"/>
  <c r="S34" i="5"/>
  <c r="K34" i="5"/>
  <c r="AB34" i="5"/>
  <c r="D34" i="5"/>
  <c r="AA34" i="5"/>
  <c r="O34" i="5"/>
  <c r="Z34" i="5"/>
  <c r="N34" i="5"/>
  <c r="Q34" i="5" l="1"/>
  <c r="R34" i="5" s="1"/>
  <c r="E35" i="5"/>
  <c r="F36" i="5" s="1"/>
  <c r="P35" i="5"/>
  <c r="AC34" i="5"/>
  <c r="AD34" i="5" s="1"/>
  <c r="M34" i="5"/>
  <c r="V34" i="5"/>
  <c r="W34" i="5" s="1"/>
  <c r="AE34" i="5" l="1"/>
  <c r="AF34" i="5" s="1"/>
  <c r="AH34" i="5" s="1"/>
  <c r="X34" i="5"/>
  <c r="Y34" i="5" s="1"/>
  <c r="AG34" i="5" s="1"/>
  <c r="C34" i="5" l="1"/>
  <c r="G34" i="5"/>
  <c r="S35" i="5" l="1"/>
  <c r="K35" i="5"/>
  <c r="U35" i="5"/>
  <c r="L35" i="5"/>
  <c r="H35" i="5"/>
  <c r="I36" i="5" s="1"/>
  <c r="J37" i="5" s="1"/>
  <c r="T35" i="5"/>
  <c r="AA35" i="5"/>
  <c r="O35" i="5"/>
  <c r="Z35" i="5"/>
  <c r="N35" i="5"/>
  <c r="AB35" i="5"/>
  <c r="D35" i="5"/>
  <c r="M35" i="5" l="1"/>
  <c r="P36" i="5"/>
  <c r="E36" i="5"/>
  <c r="F37" i="5" s="1"/>
  <c r="R35" i="5"/>
  <c r="Q35" i="5"/>
  <c r="AC35" i="5"/>
  <c r="AD35" i="5" s="1"/>
  <c r="V35" i="5"/>
  <c r="W35" i="5" s="1"/>
  <c r="X35" i="5" l="1"/>
  <c r="Y35" i="5" s="1"/>
  <c r="AG35" i="5" s="1"/>
  <c r="AE35" i="5"/>
  <c r="AF35" i="5" s="1"/>
  <c r="AH35" i="5" s="1"/>
  <c r="C35" i="5" l="1"/>
  <c r="G35" i="5"/>
  <c r="T36" i="5" l="1"/>
  <c r="L36" i="5"/>
  <c r="H36" i="5"/>
  <c r="I37" i="5" s="1"/>
  <c r="J38" i="5" s="1"/>
  <c r="S36" i="5"/>
  <c r="K36" i="5"/>
  <c r="U36" i="5"/>
  <c r="AB36" i="5"/>
  <c r="D36" i="5"/>
  <c r="AA36" i="5"/>
  <c r="O36" i="5"/>
  <c r="Z36" i="5"/>
  <c r="N36" i="5"/>
  <c r="Q36" i="5" l="1"/>
  <c r="R36" i="5" s="1"/>
  <c r="E37" i="5"/>
  <c r="F38" i="5" s="1"/>
  <c r="P37" i="5"/>
  <c r="V36" i="5"/>
  <c r="W36" i="5" s="1"/>
  <c r="AC36" i="5"/>
  <c r="AD36" i="5" s="1"/>
  <c r="M36" i="5"/>
  <c r="X36" i="5" l="1"/>
  <c r="Y36" i="5" s="1"/>
  <c r="AG36" i="5" s="1"/>
  <c r="AE36" i="5"/>
  <c r="AF36" i="5" s="1"/>
  <c r="AH36" i="5" s="1"/>
  <c r="C36" i="5" l="1"/>
  <c r="G36" i="5"/>
  <c r="U37" i="5" l="1"/>
  <c r="T37" i="5"/>
  <c r="L37" i="5"/>
  <c r="H37" i="5"/>
  <c r="I38" i="5" s="1"/>
  <c r="J39" i="5" s="1"/>
  <c r="S37" i="5"/>
  <c r="K37" i="5"/>
  <c r="Z37" i="5"/>
  <c r="N37" i="5"/>
  <c r="AB37" i="5"/>
  <c r="D37" i="5"/>
  <c r="O37" i="5"/>
  <c r="AA37" i="5"/>
  <c r="Q37" i="5" l="1"/>
  <c r="R37" i="5" s="1"/>
  <c r="M37" i="5"/>
  <c r="AC37" i="5"/>
  <c r="AD37" i="5" s="1"/>
  <c r="P38" i="5"/>
  <c r="E38" i="5"/>
  <c r="F39" i="5" s="1"/>
  <c r="V37" i="5"/>
  <c r="W37" i="5" s="1"/>
  <c r="AE37" i="5" l="1"/>
  <c r="AF37" i="5" s="1"/>
  <c r="AH37" i="5" s="1"/>
  <c r="X37" i="5"/>
  <c r="Y37" i="5" s="1"/>
  <c r="AG37" i="5" s="1"/>
  <c r="C37" i="5" l="1"/>
  <c r="G37" i="5"/>
  <c r="T38" i="5" l="1"/>
  <c r="L38" i="5"/>
  <c r="H38" i="5"/>
  <c r="I39" i="5" s="1"/>
  <c r="J40" i="5" s="1"/>
  <c r="S38" i="5"/>
  <c r="K38" i="5"/>
  <c r="M38" i="5" s="1"/>
  <c r="U38" i="5"/>
  <c r="AB38" i="5"/>
  <c r="D38" i="5"/>
  <c r="AA38" i="5"/>
  <c r="O38" i="5"/>
  <c r="Z38" i="5"/>
  <c r="N38" i="5"/>
  <c r="Q38" i="5" l="1"/>
  <c r="R38" i="5" s="1"/>
  <c r="E39" i="5"/>
  <c r="F40" i="5" s="1"/>
  <c r="P39" i="5"/>
  <c r="V38" i="5"/>
  <c r="W38" i="5" s="1"/>
  <c r="AC38" i="5"/>
  <c r="AD38" i="5" s="1"/>
  <c r="AE38" i="5" l="1"/>
  <c r="AF38" i="5" s="1"/>
  <c r="AH38" i="5" s="1"/>
  <c r="X38" i="5"/>
  <c r="Y38" i="5" s="1"/>
  <c r="AG38" i="5" s="1"/>
  <c r="C38" i="5" l="1"/>
  <c r="G38" i="5"/>
  <c r="U39" i="5" l="1"/>
  <c r="T39" i="5"/>
  <c r="L39" i="5"/>
  <c r="H39" i="5"/>
  <c r="I40" i="5" s="1"/>
  <c r="J41" i="5" s="1"/>
  <c r="S39" i="5"/>
  <c r="K39" i="5"/>
  <c r="Z39" i="5"/>
  <c r="N39" i="5"/>
  <c r="AB39" i="5"/>
  <c r="D39" i="5"/>
  <c r="O39" i="5"/>
  <c r="AA39" i="5"/>
  <c r="Q39" i="5" l="1"/>
  <c r="R39" i="5" s="1"/>
  <c r="M39" i="5"/>
  <c r="AC39" i="5"/>
  <c r="AD39" i="5" s="1"/>
  <c r="P40" i="5"/>
  <c r="E40" i="5"/>
  <c r="F41" i="5" s="1"/>
  <c r="V39" i="5"/>
  <c r="W39" i="5" s="1"/>
  <c r="AE39" i="5" l="1"/>
  <c r="AF39" i="5" s="1"/>
  <c r="AH39" i="5" s="1"/>
  <c r="X39" i="5"/>
  <c r="Y39" i="5" s="1"/>
  <c r="AG39" i="5" s="1"/>
  <c r="C39" i="5" l="1"/>
  <c r="G39" i="5"/>
  <c r="T40" i="5" l="1"/>
  <c r="L40" i="5"/>
  <c r="H40" i="5"/>
  <c r="I41" i="5" s="1"/>
  <c r="J42" i="5" s="1"/>
  <c r="S40" i="5"/>
  <c r="K40" i="5"/>
  <c r="U40" i="5"/>
  <c r="AB40" i="5"/>
  <c r="D40" i="5"/>
  <c r="AA40" i="5"/>
  <c r="O40" i="5"/>
  <c r="Z40" i="5"/>
  <c r="N40" i="5"/>
  <c r="Q40" i="5" l="1"/>
  <c r="R40" i="5" s="1"/>
  <c r="E41" i="5"/>
  <c r="F42" i="5" s="1"/>
  <c r="P41" i="5"/>
  <c r="V40" i="5"/>
  <c r="W40" i="5" s="1"/>
  <c r="AC40" i="5"/>
  <c r="AD40" i="5" s="1"/>
  <c r="M40" i="5"/>
  <c r="AE40" i="5" l="1"/>
  <c r="AF40" i="5" s="1"/>
  <c r="AH40" i="5" s="1"/>
  <c r="X40" i="5"/>
  <c r="Y40" i="5" s="1"/>
  <c r="AG40" i="5" s="1"/>
  <c r="C40" i="5" l="1"/>
  <c r="G40" i="5"/>
  <c r="U41" i="5" l="1"/>
  <c r="T41" i="5"/>
  <c r="L41" i="5"/>
  <c r="H41" i="5"/>
  <c r="I42" i="5" s="1"/>
  <c r="J43" i="5" s="1"/>
  <c r="K41" i="5"/>
  <c r="M41" i="5" s="1"/>
  <c r="S41" i="5"/>
  <c r="Z41" i="5"/>
  <c r="N41" i="5"/>
  <c r="AB41" i="5"/>
  <c r="D41" i="5"/>
  <c r="AA41" i="5"/>
  <c r="O41" i="5"/>
  <c r="Q41" i="5" l="1"/>
  <c r="R41" i="5" s="1"/>
  <c r="AC41" i="5"/>
  <c r="AD41" i="5" s="1"/>
  <c r="P42" i="5"/>
  <c r="E42" i="5"/>
  <c r="F43" i="5" s="1"/>
  <c r="V41" i="5"/>
  <c r="W41" i="5" s="1"/>
  <c r="X41" i="5" l="1"/>
  <c r="Y41" i="5" s="1"/>
  <c r="AG41" i="5" s="1"/>
  <c r="AE41" i="5"/>
  <c r="AF41" i="5" s="1"/>
  <c r="AH41" i="5" s="1"/>
  <c r="C41" i="5" l="1"/>
  <c r="G41" i="5"/>
  <c r="T42" i="5" l="1"/>
  <c r="L42" i="5"/>
  <c r="H42" i="5"/>
  <c r="I43" i="5" s="1"/>
  <c r="J44" i="5" s="1"/>
  <c r="S42" i="5"/>
  <c r="K42" i="5"/>
  <c r="U42" i="5"/>
  <c r="AB42" i="5"/>
  <c r="D42" i="5"/>
  <c r="AA42" i="5"/>
  <c r="O42" i="5"/>
  <c r="Z42" i="5"/>
  <c r="N42" i="5"/>
  <c r="Q42" i="5" l="1"/>
  <c r="R42" i="5" s="1"/>
  <c r="E43" i="5"/>
  <c r="F44" i="5" s="1"/>
  <c r="P43" i="5"/>
  <c r="V42" i="5"/>
  <c r="W42" i="5" s="1"/>
  <c r="AC42" i="5"/>
  <c r="AD42" i="5" s="1"/>
  <c r="M42" i="5"/>
  <c r="X42" i="5" l="1"/>
  <c r="Y42" i="5" s="1"/>
  <c r="AG42" i="5" s="1"/>
  <c r="AE42" i="5"/>
  <c r="AF42" i="5" s="1"/>
  <c r="AH42" i="5" s="1"/>
  <c r="C42" i="5" l="1"/>
  <c r="G42" i="5"/>
  <c r="Z43" i="5" l="1"/>
  <c r="N43" i="5"/>
  <c r="AB43" i="5"/>
  <c r="D43" i="5"/>
  <c r="O43" i="5"/>
  <c r="AA43" i="5"/>
  <c r="U43" i="5"/>
  <c r="T43" i="5"/>
  <c r="L43" i="5"/>
  <c r="H43" i="5"/>
  <c r="I44" i="5" s="1"/>
  <c r="J45" i="5" s="1"/>
  <c r="K43" i="5"/>
  <c r="S43" i="5"/>
  <c r="V43" i="5" l="1"/>
  <c r="W43" i="5" s="1"/>
  <c r="P44" i="5"/>
  <c r="E44" i="5"/>
  <c r="F45" i="5" s="1"/>
  <c r="M43" i="5"/>
  <c r="Q43" i="5"/>
  <c r="R43" i="5" s="1"/>
  <c r="AD43" i="5"/>
  <c r="AC43" i="5"/>
  <c r="X43" i="5" l="1"/>
  <c r="Y43" i="5" s="1"/>
  <c r="AG43" i="5" s="1"/>
  <c r="AE43" i="5"/>
  <c r="AF43" i="5" s="1"/>
  <c r="AH43" i="5" s="1"/>
  <c r="C43" i="5" l="1"/>
  <c r="G43" i="5"/>
  <c r="T44" i="5" l="1"/>
  <c r="L44" i="5"/>
  <c r="H44" i="5"/>
  <c r="I45" i="5" s="1"/>
  <c r="J46" i="5" s="1"/>
  <c r="S44" i="5"/>
  <c r="K44" i="5"/>
  <c r="M44" i="5" s="1"/>
  <c r="U44" i="5"/>
  <c r="AB44" i="5"/>
  <c r="D44" i="5"/>
  <c r="AA44" i="5"/>
  <c r="O44" i="5"/>
  <c r="Z44" i="5"/>
  <c r="N44" i="5"/>
  <c r="Q44" i="5" l="1"/>
  <c r="R44" i="5" s="1"/>
  <c r="E45" i="5"/>
  <c r="F46" i="5" s="1"/>
  <c r="P45" i="5"/>
  <c r="V44" i="5"/>
  <c r="W44" i="5" s="1"/>
  <c r="AC44" i="5"/>
  <c r="AD44" i="5" s="1"/>
  <c r="X44" i="5" l="1"/>
  <c r="Y44" i="5" s="1"/>
  <c r="AG44" i="5" s="1"/>
  <c r="AE44" i="5"/>
  <c r="AF44" i="5" s="1"/>
  <c r="AH44" i="5" s="1"/>
  <c r="C44" i="5" l="1"/>
  <c r="G44" i="5"/>
  <c r="U45" i="5" l="1"/>
  <c r="T45" i="5"/>
  <c r="L45" i="5"/>
  <c r="H45" i="5"/>
  <c r="I46" i="5" s="1"/>
  <c r="J47" i="5" s="1"/>
  <c r="S45" i="5"/>
  <c r="K45" i="5"/>
  <c r="Z45" i="5"/>
  <c r="N45" i="5"/>
  <c r="AB45" i="5"/>
  <c r="D45" i="5"/>
  <c r="O45" i="5"/>
  <c r="AA45" i="5"/>
  <c r="Q45" i="5" l="1"/>
  <c r="R45" i="5" s="1"/>
  <c r="M45" i="5"/>
  <c r="AC45" i="5"/>
  <c r="AD45" i="5" s="1"/>
  <c r="P46" i="5"/>
  <c r="E46" i="5"/>
  <c r="F47" i="5" s="1"/>
  <c r="V45" i="5"/>
  <c r="W45" i="5" s="1"/>
  <c r="X45" i="5" l="1"/>
  <c r="Y45" i="5" s="1"/>
  <c r="AG45" i="5" s="1"/>
  <c r="AE45" i="5"/>
  <c r="AF45" i="5" s="1"/>
  <c r="AH45" i="5" s="1"/>
  <c r="C45" i="5" l="1"/>
  <c r="G45" i="5"/>
  <c r="T46" i="5" l="1"/>
  <c r="L46" i="5"/>
  <c r="H46" i="5"/>
  <c r="I47" i="5" s="1"/>
  <c r="J48" i="5" s="1"/>
  <c r="S46" i="5"/>
  <c r="K46" i="5"/>
  <c r="U46" i="5"/>
  <c r="AB46" i="5"/>
  <c r="D46" i="5"/>
  <c r="AA46" i="5"/>
  <c r="O46" i="5"/>
  <c r="Z46" i="5"/>
  <c r="N46" i="5"/>
  <c r="V46" i="5" l="1"/>
  <c r="W46" i="5" s="1"/>
  <c r="Q46" i="5"/>
  <c r="R46" i="5" s="1"/>
  <c r="E47" i="5"/>
  <c r="F48" i="5" s="1"/>
  <c r="P47" i="5"/>
  <c r="AC46" i="5"/>
  <c r="AD46" i="5" s="1"/>
  <c r="M46" i="5"/>
  <c r="AE46" i="5" l="1"/>
  <c r="AF46" i="5" s="1"/>
  <c r="AH46" i="5" s="1"/>
  <c r="X46" i="5"/>
  <c r="Y46" i="5" s="1"/>
  <c r="AG46" i="5" s="1"/>
  <c r="C46" i="5" l="1"/>
  <c r="G46" i="5"/>
  <c r="Z47" i="5" l="1"/>
  <c r="N47" i="5"/>
  <c r="AB47" i="5"/>
  <c r="D47" i="5"/>
  <c r="O47" i="5"/>
  <c r="AA47" i="5"/>
  <c r="U47" i="5"/>
  <c r="T47" i="5"/>
  <c r="L47" i="5"/>
  <c r="H47" i="5"/>
  <c r="I48" i="5" s="1"/>
  <c r="J49" i="5" s="1"/>
  <c r="S47" i="5"/>
  <c r="K47" i="5"/>
  <c r="M47" i="5" l="1"/>
  <c r="P48" i="5"/>
  <c r="E48" i="5"/>
  <c r="F49" i="5" s="1"/>
  <c r="V47" i="5"/>
  <c r="W47" i="5" s="1"/>
  <c r="Q47" i="5"/>
  <c r="R47" i="5" s="1"/>
  <c r="AC47" i="5"/>
  <c r="AD47" i="5" s="1"/>
  <c r="X47" i="5" l="1"/>
  <c r="Y47" i="5" s="1"/>
  <c r="AG47" i="5" s="1"/>
  <c r="AE47" i="5"/>
  <c r="AF47" i="5" s="1"/>
  <c r="AH47" i="5" s="1"/>
  <c r="C47" i="5" l="1"/>
  <c r="G47" i="5"/>
  <c r="T48" i="5" l="1"/>
  <c r="L48" i="5"/>
  <c r="H48" i="5"/>
  <c r="I49" i="5" s="1"/>
  <c r="J50" i="5" s="1"/>
  <c r="S48" i="5"/>
  <c r="K48" i="5"/>
  <c r="M48" i="5" s="1"/>
  <c r="U48" i="5"/>
  <c r="AB48" i="5"/>
  <c r="D48" i="5"/>
  <c r="AA48" i="5"/>
  <c r="O48" i="5"/>
  <c r="Z48" i="5"/>
  <c r="N48" i="5"/>
  <c r="Q48" i="5" l="1"/>
  <c r="R48" i="5" s="1"/>
  <c r="E49" i="5"/>
  <c r="F50" i="5" s="1"/>
  <c r="P49" i="5"/>
  <c r="V48" i="5"/>
  <c r="W48" i="5" s="1"/>
  <c r="AC48" i="5"/>
  <c r="AD48" i="5" s="1"/>
  <c r="X48" i="5" l="1"/>
  <c r="Y48" i="5" s="1"/>
  <c r="AG48" i="5" s="1"/>
  <c r="AE48" i="5"/>
  <c r="AF48" i="5" s="1"/>
  <c r="AH48" i="5" s="1"/>
  <c r="C48" i="5" l="1"/>
  <c r="G48" i="5"/>
  <c r="U49" i="5" l="1"/>
  <c r="T49" i="5"/>
  <c r="L49" i="5"/>
  <c r="H49" i="5"/>
  <c r="I50" i="5" s="1"/>
  <c r="J51" i="5" s="1"/>
  <c r="K49" i="5"/>
  <c r="S49" i="5"/>
  <c r="AA49" i="5"/>
  <c r="Z49" i="5"/>
  <c r="N49" i="5"/>
  <c r="D49" i="5"/>
  <c r="AB49" i="5"/>
  <c r="O49" i="5"/>
  <c r="AC49" i="5" l="1"/>
  <c r="AD49" i="5" s="1"/>
  <c r="Q49" i="5"/>
  <c r="R49" i="5" s="1"/>
  <c r="E50" i="5"/>
  <c r="F51" i="5" s="1"/>
  <c r="P50" i="5"/>
  <c r="V49" i="5"/>
  <c r="W49" i="5"/>
  <c r="M49" i="5"/>
  <c r="AE49" i="5" l="1"/>
  <c r="AF49" i="5" s="1"/>
  <c r="AH49" i="5" s="1"/>
  <c r="X49" i="5"/>
  <c r="Y49" i="5" s="1"/>
  <c r="AG49" i="5" s="1"/>
  <c r="C49" i="5" l="1"/>
  <c r="G49" i="5"/>
  <c r="U50" i="5" l="1"/>
  <c r="T50" i="5"/>
  <c r="L50" i="5"/>
  <c r="H50" i="5"/>
  <c r="I51" i="5" s="1"/>
  <c r="J52" i="5" s="1"/>
  <c r="S50" i="5"/>
  <c r="K50" i="5"/>
  <c r="Z50" i="5"/>
  <c r="N50" i="5"/>
  <c r="AB50" i="5"/>
  <c r="D50" i="5"/>
  <c r="O50" i="5"/>
  <c r="AA50" i="5"/>
  <c r="Q50" i="5" l="1"/>
  <c r="R50" i="5" s="1"/>
  <c r="M50" i="5"/>
  <c r="AC50" i="5"/>
  <c r="AD50" i="5" s="1"/>
  <c r="P51" i="5"/>
  <c r="E51" i="5"/>
  <c r="F52" i="5" s="1"/>
  <c r="V50" i="5"/>
  <c r="W50" i="5" s="1"/>
  <c r="X50" i="5" l="1"/>
  <c r="Y50" i="5" s="1"/>
  <c r="AG50" i="5" s="1"/>
  <c r="AE50" i="5"/>
  <c r="AF50" i="5" s="1"/>
  <c r="AH50" i="5" s="1"/>
  <c r="C50" i="5" l="1"/>
  <c r="G50" i="5"/>
  <c r="AB51" i="5" l="1"/>
  <c r="D51" i="5"/>
  <c r="AA51" i="5"/>
  <c r="O51" i="5"/>
  <c r="Z51" i="5"/>
  <c r="N51" i="5"/>
  <c r="T51" i="5"/>
  <c r="L51" i="5"/>
  <c r="H51" i="5"/>
  <c r="I52" i="5" s="1"/>
  <c r="J53" i="5" s="1"/>
  <c r="S51" i="5"/>
  <c r="K51" i="5"/>
  <c r="U51" i="5"/>
  <c r="M51" i="5" l="1"/>
  <c r="V51" i="5"/>
  <c r="W51" i="5" s="1"/>
  <c r="Q51" i="5"/>
  <c r="R51" i="5" s="1"/>
  <c r="E52" i="5"/>
  <c r="F53" i="5" s="1"/>
  <c r="P52" i="5"/>
  <c r="AC51" i="5"/>
  <c r="AD51" i="5" s="1"/>
  <c r="X51" i="5" l="1"/>
  <c r="Y51" i="5" s="1"/>
  <c r="AG51" i="5" s="1"/>
  <c r="AE51" i="5"/>
  <c r="AF51" i="5" s="1"/>
  <c r="AH51" i="5" s="1"/>
  <c r="C51" i="5" l="1"/>
  <c r="G51" i="5"/>
  <c r="U52" i="5" l="1"/>
  <c r="T52" i="5"/>
  <c r="L52" i="5"/>
  <c r="H52" i="5"/>
  <c r="I53" i="5" s="1"/>
  <c r="J54" i="5" s="1"/>
  <c r="K52" i="5"/>
  <c r="S52" i="5"/>
  <c r="Z52" i="5"/>
  <c r="N52" i="5"/>
  <c r="AB52" i="5"/>
  <c r="D52" i="5"/>
  <c r="AA52" i="5"/>
  <c r="O52" i="5"/>
  <c r="Q52" i="5" l="1"/>
  <c r="R52" i="5" s="1"/>
  <c r="AC52" i="5"/>
  <c r="AD52" i="5" s="1"/>
  <c r="P53" i="5"/>
  <c r="E53" i="5"/>
  <c r="F54" i="5" s="1"/>
  <c r="V52" i="5"/>
  <c r="W52" i="5" s="1"/>
  <c r="M52" i="5"/>
  <c r="X52" i="5" l="1"/>
  <c r="Y52" i="5" s="1"/>
  <c r="AG52" i="5" s="1"/>
  <c r="AE52" i="5"/>
  <c r="AF52" i="5" s="1"/>
  <c r="AH52" i="5" s="1"/>
  <c r="C52" i="5" l="1"/>
  <c r="G52" i="5"/>
  <c r="T53" i="5" l="1"/>
  <c r="L53" i="5"/>
  <c r="H53" i="5"/>
  <c r="I54" i="5" s="1"/>
  <c r="J55" i="5" s="1"/>
  <c r="S53" i="5"/>
  <c r="K53" i="5"/>
  <c r="U53" i="5"/>
  <c r="AB53" i="5"/>
  <c r="D53" i="5"/>
  <c r="AA53" i="5"/>
  <c r="O53" i="5"/>
  <c r="Z53" i="5"/>
  <c r="N53" i="5"/>
  <c r="Q53" i="5" l="1"/>
  <c r="R53" i="5" s="1"/>
  <c r="E54" i="5"/>
  <c r="F55" i="5" s="1"/>
  <c r="P54" i="5"/>
  <c r="V53" i="5"/>
  <c r="W53" i="5" s="1"/>
  <c r="AC53" i="5"/>
  <c r="AD53" i="5" s="1"/>
  <c r="M53" i="5"/>
  <c r="AE53" i="5" l="1"/>
  <c r="AF53" i="5" s="1"/>
  <c r="AH53" i="5" s="1"/>
  <c r="X53" i="5"/>
  <c r="Y53" i="5" s="1"/>
  <c r="AG53" i="5" s="1"/>
  <c r="C53" i="5" l="1"/>
  <c r="G53" i="5"/>
  <c r="U54" i="5" l="1"/>
  <c r="T54" i="5"/>
  <c r="L54" i="5"/>
  <c r="H54" i="5"/>
  <c r="I55" i="5" s="1"/>
  <c r="J56" i="5" s="1"/>
  <c r="K54" i="5"/>
  <c r="S54" i="5"/>
  <c r="Z54" i="5"/>
  <c r="N54" i="5"/>
  <c r="AB54" i="5"/>
  <c r="D54" i="5"/>
  <c r="O54" i="5"/>
  <c r="AA54" i="5"/>
  <c r="Q54" i="5" l="1"/>
  <c r="R54" i="5" s="1"/>
  <c r="AC54" i="5"/>
  <c r="AD54" i="5" s="1"/>
  <c r="P55" i="5"/>
  <c r="E55" i="5"/>
  <c r="F56" i="5" s="1"/>
  <c r="V54" i="5"/>
  <c r="W54" i="5" s="1"/>
  <c r="M54" i="5"/>
  <c r="X54" i="5" l="1"/>
  <c r="Y54" i="5" s="1"/>
  <c r="AG54" i="5" s="1"/>
  <c r="AE54" i="5"/>
  <c r="AF54" i="5" s="1"/>
  <c r="AH54" i="5" s="1"/>
  <c r="C54" i="5" l="1"/>
  <c r="G54" i="5"/>
  <c r="S55" i="5" l="1"/>
  <c r="U55" i="5"/>
  <c r="L55" i="5"/>
  <c r="H55" i="5"/>
  <c r="I56" i="5" s="1"/>
  <c r="J57" i="5" s="1"/>
  <c r="T55" i="5"/>
  <c r="K55" i="5"/>
  <c r="M55" i="5" s="1"/>
  <c r="AB55" i="5"/>
  <c r="AA55" i="5"/>
  <c r="D55" i="5"/>
  <c r="Z55" i="5"/>
  <c r="O55" i="5"/>
  <c r="N55" i="5"/>
  <c r="Q55" i="5" l="1"/>
  <c r="R55" i="5" s="1"/>
  <c r="AC55" i="5"/>
  <c r="AD55" i="5" s="1"/>
  <c r="E56" i="5"/>
  <c r="F57" i="5" s="1"/>
  <c r="P56" i="5"/>
  <c r="W55" i="5"/>
  <c r="V55" i="5"/>
  <c r="AE55" i="5" l="1"/>
  <c r="AF55" i="5" s="1"/>
  <c r="AH55" i="5" s="1"/>
  <c r="X55" i="5"/>
  <c r="Y55" i="5" s="1"/>
  <c r="AG55" i="5" s="1"/>
  <c r="C55" i="5" l="1"/>
  <c r="G55" i="5"/>
  <c r="U56" i="5" l="1"/>
  <c r="H56" i="5"/>
  <c r="I57" i="5" s="1"/>
  <c r="J58" i="5" s="1"/>
  <c r="T56" i="5"/>
  <c r="L56" i="5"/>
  <c r="S56" i="5"/>
  <c r="K56" i="5"/>
  <c r="M56" i="5" s="1"/>
  <c r="Z56" i="5"/>
  <c r="N56" i="5"/>
  <c r="O56" i="5"/>
  <c r="AB56" i="5"/>
  <c r="D56" i="5"/>
  <c r="AA56" i="5"/>
  <c r="Q56" i="5" l="1"/>
  <c r="R56" i="5" s="1"/>
  <c r="P57" i="5"/>
  <c r="E57" i="5"/>
  <c r="F58" i="5" s="1"/>
  <c r="AC56" i="5"/>
  <c r="AD56" i="5" s="1"/>
  <c r="V56" i="5"/>
  <c r="W56" i="5" s="1"/>
  <c r="AE56" i="5" l="1"/>
  <c r="AF56" i="5" s="1"/>
  <c r="AH56" i="5" s="1"/>
  <c r="X56" i="5"/>
  <c r="Y56" i="5" s="1"/>
  <c r="AG56" i="5" s="1"/>
  <c r="C56" i="5" l="1"/>
  <c r="G56" i="5"/>
  <c r="T57" i="5" l="1"/>
  <c r="L57" i="5"/>
  <c r="H57" i="5"/>
  <c r="I58" i="5" s="1"/>
  <c r="J59" i="5" s="1"/>
  <c r="S57" i="5"/>
  <c r="K57" i="5"/>
  <c r="U57" i="5"/>
  <c r="AB57" i="5"/>
  <c r="D57" i="5"/>
  <c r="AA57" i="5"/>
  <c r="O57" i="5"/>
  <c r="Z57" i="5"/>
  <c r="N57" i="5"/>
  <c r="Q57" i="5" l="1"/>
  <c r="R57" i="5" s="1"/>
  <c r="E58" i="5"/>
  <c r="F59" i="5" s="1"/>
  <c r="P58" i="5"/>
  <c r="V57" i="5"/>
  <c r="W57" i="5" s="1"/>
  <c r="AC57" i="5"/>
  <c r="AD57" i="5" s="1"/>
  <c r="M57" i="5"/>
  <c r="AE57" i="5" l="1"/>
  <c r="AF57" i="5" s="1"/>
  <c r="AH57" i="5" s="1"/>
  <c r="X57" i="5"/>
  <c r="Y57" i="5" s="1"/>
  <c r="AG57" i="5" s="1"/>
  <c r="C57" i="5" l="1"/>
  <c r="G57" i="5"/>
  <c r="Z58" i="5" l="1"/>
  <c r="N58" i="5"/>
  <c r="AB58" i="5"/>
  <c r="D58" i="5"/>
  <c r="O58" i="5"/>
  <c r="AA58" i="5"/>
  <c r="U58" i="5"/>
  <c r="T58" i="5"/>
  <c r="L58" i="5"/>
  <c r="H58" i="5"/>
  <c r="I59" i="5" s="1"/>
  <c r="J60" i="5" s="1"/>
  <c r="S58" i="5"/>
  <c r="K58" i="5"/>
  <c r="M58" i="5" l="1"/>
  <c r="P59" i="5"/>
  <c r="E59" i="5"/>
  <c r="F60" i="5" s="1"/>
  <c r="V58" i="5"/>
  <c r="W58" i="5" s="1"/>
  <c r="Q58" i="5"/>
  <c r="R58" i="5" s="1"/>
  <c r="AC58" i="5"/>
  <c r="AD58" i="5" s="1"/>
  <c r="X58" i="5" l="1"/>
  <c r="Y58" i="5" s="1"/>
  <c r="AG58" i="5" s="1"/>
  <c r="AE58" i="5"/>
  <c r="AF58" i="5" s="1"/>
  <c r="AH58" i="5" s="1"/>
  <c r="C58" i="5" l="1"/>
  <c r="G58" i="5"/>
  <c r="T59" i="5" l="1"/>
  <c r="L59" i="5"/>
  <c r="H59" i="5"/>
  <c r="I60" i="5" s="1"/>
  <c r="J61" i="5" s="1"/>
  <c r="S59" i="5"/>
  <c r="K59" i="5"/>
  <c r="M59" i="5" s="1"/>
  <c r="U59" i="5"/>
  <c r="AB59" i="5"/>
  <c r="D59" i="5"/>
  <c r="AA59" i="5"/>
  <c r="O59" i="5"/>
  <c r="Z59" i="5"/>
  <c r="N59" i="5"/>
  <c r="Q59" i="5" l="1"/>
  <c r="R59" i="5" s="1"/>
  <c r="E60" i="5"/>
  <c r="F61" i="5" s="1"/>
  <c r="P60" i="5"/>
  <c r="V59" i="5"/>
  <c r="W59" i="5" s="1"/>
  <c r="AC59" i="5"/>
  <c r="AD59" i="5" s="1"/>
  <c r="AE59" i="5" l="1"/>
  <c r="AF59" i="5" s="1"/>
  <c r="AH59" i="5" s="1"/>
  <c r="X59" i="5"/>
  <c r="Y59" i="5" s="1"/>
  <c r="AG59" i="5" s="1"/>
  <c r="C59" i="5" l="1"/>
  <c r="G59" i="5"/>
  <c r="Z60" i="5" l="1"/>
  <c r="N60" i="5"/>
  <c r="AB60" i="5"/>
  <c r="D60" i="5"/>
  <c r="AA60" i="5"/>
  <c r="O60" i="5"/>
  <c r="U60" i="5"/>
  <c r="T60" i="5"/>
  <c r="L60" i="5"/>
  <c r="H60" i="5"/>
  <c r="I61" i="5" s="1"/>
  <c r="J62" i="5" s="1"/>
  <c r="K60" i="5"/>
  <c r="M60" i="5" s="1"/>
  <c r="S60" i="5"/>
  <c r="V60" i="5" l="1"/>
  <c r="W60" i="5" s="1"/>
  <c r="P61" i="5"/>
  <c r="E61" i="5"/>
  <c r="F62" i="5" s="1"/>
  <c r="Q60" i="5"/>
  <c r="R60" i="5" s="1"/>
  <c r="AC60" i="5"/>
  <c r="AD60" i="5" s="1"/>
  <c r="AE60" i="5" l="1"/>
  <c r="AF60" i="5" s="1"/>
  <c r="AH60" i="5" s="1"/>
  <c r="X60" i="5"/>
  <c r="Y60" i="5" s="1"/>
  <c r="AG60" i="5" s="1"/>
  <c r="C60" i="5" l="1"/>
  <c r="G60" i="5"/>
  <c r="T61" i="5" l="1"/>
  <c r="L61" i="5"/>
  <c r="H61" i="5"/>
  <c r="I62" i="5" s="1"/>
  <c r="J63" i="5" s="1"/>
  <c r="S61" i="5"/>
  <c r="K61" i="5"/>
  <c r="U61" i="5"/>
  <c r="AB61" i="5"/>
  <c r="D61" i="5"/>
  <c r="AA61" i="5"/>
  <c r="O61" i="5"/>
  <c r="Z61" i="5"/>
  <c r="N61" i="5"/>
  <c r="Q61" i="5" l="1"/>
  <c r="R61" i="5" s="1"/>
  <c r="E62" i="5"/>
  <c r="F63" i="5" s="1"/>
  <c r="P62" i="5"/>
  <c r="V61" i="5"/>
  <c r="W61" i="5" s="1"/>
  <c r="AC61" i="5"/>
  <c r="AD61" i="5" s="1"/>
  <c r="M61" i="5"/>
  <c r="X61" i="5" l="1"/>
  <c r="Y61" i="5" s="1"/>
  <c r="AG61" i="5" s="1"/>
  <c r="AE61" i="5"/>
  <c r="AF61" i="5" s="1"/>
  <c r="AH61" i="5" s="1"/>
  <c r="C61" i="5" l="1"/>
  <c r="G61" i="5"/>
  <c r="U62" i="5" l="1"/>
  <c r="T62" i="5"/>
  <c r="L62" i="5"/>
  <c r="H62" i="5"/>
  <c r="I63" i="5" s="1"/>
  <c r="J64" i="5" s="1"/>
  <c r="K62" i="5"/>
  <c r="M62" i="5" s="1"/>
  <c r="S62" i="5"/>
  <c r="Z62" i="5"/>
  <c r="N62" i="5"/>
  <c r="AB62" i="5"/>
  <c r="D62" i="5"/>
  <c r="O62" i="5"/>
  <c r="AA62" i="5"/>
  <c r="Q62" i="5" l="1"/>
  <c r="R62" i="5" s="1"/>
  <c r="AC62" i="5"/>
  <c r="AD62" i="5" s="1"/>
  <c r="P63" i="5"/>
  <c r="E63" i="5"/>
  <c r="F64" i="5" s="1"/>
  <c r="V62" i="5"/>
  <c r="W62" i="5" s="1"/>
  <c r="X62" i="5" l="1"/>
  <c r="Y62" i="5" s="1"/>
  <c r="AG62" i="5" s="1"/>
  <c r="AE62" i="5"/>
  <c r="AF62" i="5" s="1"/>
  <c r="AH62" i="5" s="1"/>
  <c r="C62" i="5" l="1"/>
  <c r="G62" i="5"/>
  <c r="T63" i="5" l="1"/>
  <c r="L63" i="5"/>
  <c r="H63" i="5"/>
  <c r="I64" i="5" s="1"/>
  <c r="J65" i="5" s="1"/>
  <c r="S63" i="5"/>
  <c r="K63" i="5"/>
  <c r="U63" i="5"/>
  <c r="AB63" i="5"/>
  <c r="D63" i="5"/>
  <c r="AA63" i="5"/>
  <c r="O63" i="5"/>
  <c r="Z63" i="5"/>
  <c r="N63" i="5"/>
  <c r="Q63" i="5" l="1"/>
  <c r="R63" i="5" s="1"/>
  <c r="E64" i="5"/>
  <c r="F65" i="5" s="1"/>
  <c r="P64" i="5"/>
  <c r="V63" i="5"/>
  <c r="W63" i="5" s="1"/>
  <c r="AC63" i="5"/>
  <c r="AD63" i="5" s="1"/>
  <c r="M63" i="5"/>
  <c r="X63" i="5" l="1"/>
  <c r="Y63" i="5" s="1"/>
  <c r="AG63" i="5" s="1"/>
  <c r="AE63" i="5"/>
  <c r="AF63" i="5" s="1"/>
  <c r="AH63" i="5" s="1"/>
  <c r="C63" i="5" l="1"/>
  <c r="G63" i="5"/>
  <c r="U64" i="5" l="1"/>
  <c r="T64" i="5"/>
  <c r="L64" i="5"/>
  <c r="H64" i="5"/>
  <c r="I65" i="5" s="1"/>
  <c r="J66" i="5" s="1"/>
  <c r="S64" i="5"/>
  <c r="K64" i="5"/>
  <c r="Z64" i="5"/>
  <c r="N64" i="5"/>
  <c r="AB64" i="5"/>
  <c r="D64" i="5"/>
  <c r="O64" i="5"/>
  <c r="AA64" i="5"/>
  <c r="Q64" i="5" l="1"/>
  <c r="R64" i="5" s="1"/>
  <c r="M64" i="5"/>
  <c r="AC64" i="5"/>
  <c r="AD64" i="5" s="1"/>
  <c r="P65" i="5"/>
  <c r="E65" i="5"/>
  <c r="F66" i="5" s="1"/>
  <c r="V64" i="5"/>
  <c r="W64" i="5" s="1"/>
  <c r="AE64" i="5" l="1"/>
  <c r="AF64" i="5" s="1"/>
  <c r="AH64" i="5" s="1"/>
  <c r="X64" i="5"/>
  <c r="Y64" i="5" s="1"/>
  <c r="AG64" i="5" s="1"/>
  <c r="C64" i="5" l="1"/>
  <c r="G64" i="5"/>
  <c r="T65" i="5" l="1"/>
  <c r="L65" i="5"/>
  <c r="H65" i="5"/>
  <c r="I66" i="5" s="1"/>
  <c r="J67" i="5" s="1"/>
  <c r="S65" i="5"/>
  <c r="K65" i="5"/>
  <c r="M65" i="5" s="1"/>
  <c r="U65" i="5"/>
  <c r="AB65" i="5"/>
  <c r="D65" i="5"/>
  <c r="AA65" i="5"/>
  <c r="O65" i="5"/>
  <c r="Z65" i="5"/>
  <c r="N65" i="5"/>
  <c r="Q65" i="5" l="1"/>
  <c r="R65" i="5" s="1"/>
  <c r="E66" i="5"/>
  <c r="F67" i="5" s="1"/>
  <c r="P66" i="5"/>
  <c r="V65" i="5"/>
  <c r="W65" i="5" s="1"/>
  <c r="AC65" i="5"/>
  <c r="AD65" i="5" s="1"/>
  <c r="X65" i="5" l="1"/>
  <c r="Y65" i="5" s="1"/>
  <c r="AG65" i="5" s="1"/>
  <c r="AE65" i="5"/>
  <c r="AF65" i="5" s="1"/>
  <c r="AH65" i="5" s="1"/>
  <c r="C65" i="5" l="1"/>
  <c r="G65" i="5"/>
  <c r="U66" i="5" l="1"/>
  <c r="T66" i="5"/>
  <c r="L66" i="5"/>
  <c r="H66" i="5"/>
  <c r="I67" i="5" s="1"/>
  <c r="J68" i="5" s="1"/>
  <c r="S66" i="5"/>
  <c r="K66" i="5"/>
  <c r="Z66" i="5"/>
  <c r="N66" i="5"/>
  <c r="AB66" i="5"/>
  <c r="D66" i="5"/>
  <c r="O66" i="5"/>
  <c r="AA66" i="5"/>
  <c r="Q66" i="5" l="1"/>
  <c r="R66" i="5" s="1"/>
  <c r="M66" i="5"/>
  <c r="AC66" i="5"/>
  <c r="AD66" i="5" s="1"/>
  <c r="P67" i="5"/>
  <c r="E67" i="5"/>
  <c r="F68" i="5" s="1"/>
  <c r="V66" i="5"/>
  <c r="W66" i="5"/>
  <c r="AE66" i="5" l="1"/>
  <c r="AF66" i="5" s="1"/>
  <c r="AH66" i="5" s="1"/>
  <c r="X66" i="5"/>
  <c r="Y66" i="5" s="1"/>
  <c r="AG66" i="5" s="1"/>
  <c r="C66" i="5" l="1"/>
  <c r="G66" i="5"/>
  <c r="T67" i="5" l="1"/>
  <c r="L67" i="5"/>
  <c r="H67" i="5"/>
  <c r="I68" i="5" s="1"/>
  <c r="J69" i="5" s="1"/>
  <c r="J70" i="5" s="1"/>
  <c r="S67" i="5"/>
  <c r="K67" i="5"/>
  <c r="U67" i="5"/>
  <c r="AB67" i="5"/>
  <c r="D67" i="5"/>
  <c r="AA67" i="5"/>
  <c r="O67" i="5"/>
  <c r="Z67" i="5"/>
  <c r="N67" i="5"/>
  <c r="Q67" i="5" l="1"/>
  <c r="R67" i="5" s="1"/>
  <c r="E68" i="5"/>
  <c r="F69" i="5" s="1"/>
  <c r="F70" i="5" s="1"/>
  <c r="P68" i="5"/>
  <c r="V67" i="5"/>
  <c r="W67" i="5" s="1"/>
  <c r="AC67" i="5"/>
  <c r="AD67" i="5" s="1"/>
  <c r="M67" i="5"/>
  <c r="AE67" i="5" l="1"/>
  <c r="AF67" i="5" s="1"/>
  <c r="AH67" i="5" s="1"/>
  <c r="X67" i="5"/>
  <c r="Y67" i="5" s="1"/>
  <c r="AG67" i="5" s="1"/>
  <c r="C67" i="5" l="1"/>
  <c r="G67" i="5"/>
  <c r="U68" i="5" l="1"/>
  <c r="T68" i="5"/>
  <c r="L68" i="5"/>
  <c r="H68" i="5"/>
  <c r="I69" i="5" s="1"/>
  <c r="I70" i="5" s="1"/>
  <c r="K68" i="5"/>
  <c r="S68" i="5"/>
  <c r="Z68" i="5"/>
  <c r="N68" i="5"/>
  <c r="AB68" i="5"/>
  <c r="D68" i="5"/>
  <c r="AA68" i="5"/>
  <c r="O68" i="5"/>
  <c r="Q68" i="5" l="1"/>
  <c r="R68" i="5" s="1"/>
  <c r="AC68" i="5"/>
  <c r="AD68" i="5" s="1"/>
  <c r="P69" i="5"/>
  <c r="E69" i="5"/>
  <c r="E70" i="5" s="1"/>
  <c r="V68" i="5"/>
  <c r="W68" i="5" s="1"/>
  <c r="M68" i="5"/>
  <c r="AE68" i="5" l="1"/>
  <c r="AF68" i="5" s="1"/>
  <c r="AH68" i="5" s="1"/>
  <c r="X68" i="5"/>
  <c r="Y68" i="5" s="1"/>
  <c r="AG68" i="5" s="1"/>
  <c r="C68" i="5" l="1"/>
  <c r="G68" i="5"/>
  <c r="T69" i="5" l="1"/>
  <c r="L69" i="5"/>
  <c r="H69" i="5"/>
  <c r="H70" i="5" s="1"/>
  <c r="S69" i="5"/>
  <c r="K69" i="5"/>
  <c r="U69" i="5"/>
  <c r="AB69" i="5"/>
  <c r="D69" i="5"/>
  <c r="D70" i="5" s="1"/>
  <c r="AA69" i="5"/>
  <c r="O69" i="5"/>
  <c r="Z69" i="5"/>
  <c r="N69" i="5"/>
  <c r="Q69" i="5" l="1"/>
  <c r="R69" i="5" s="1"/>
  <c r="V69" i="5"/>
  <c r="W69" i="5" s="1"/>
  <c r="AC69" i="5"/>
  <c r="AD69" i="5" s="1"/>
  <c r="M69" i="5"/>
  <c r="X69" i="5" l="1"/>
  <c r="Y69" i="5" s="1"/>
  <c r="AG69" i="5" s="1"/>
  <c r="AE69" i="5"/>
  <c r="AF69" i="5" s="1"/>
  <c r="AH69" i="5" s="1"/>
  <c r="C69" i="5" l="1"/>
  <c r="C70" i="5" s="1"/>
  <c r="E2" i="5" s="1"/>
  <c r="B8" i="1" s="1"/>
  <c r="G69" i="5"/>
  <c r="G70" i="5" s="1"/>
</calcChain>
</file>

<file path=xl/sharedStrings.xml><?xml version="1.0" encoding="utf-8"?>
<sst xmlns="http://schemas.openxmlformats.org/spreadsheetml/2006/main" count="347" uniqueCount="230">
  <si>
    <t>🔐  SHA-256 Calculator — pure Excel formulas, no VBA</t>
  </si>
  <si>
    <t>Requires Excel 2013+  ·  Pure INT/MOD/MID formulas  ·  No macros</t>
  </si>
  <si>
    <t>✏️  ENTER A WORD  (1–7 ASCII characters):</t>
  </si>
  <si>
    <t>hello</t>
  </si>
  <si>
    <t>🔑  SHA-256 RESULT:</t>
  </si>
  <si>
    <t>📌  Sheets: 📖 How SHA-256 Works  |  🔤 ASCII Encoding  |  📦 SHA-256 Constants  |  ⚙️ Computation</t>
  </si>
  <si>
    <t>✅ Verified: "hello" → 2cf24dba5fb0a30e26e83b2ac5b9e29e1b161e5c1fa7425e73043362938b9824</t>
  </si>
  <si>
    <t>⚠️  Maximum 7 characters  ·  ASCII only  ·  Requires Excel 2013+</t>
  </si>
  <si>
    <t>📖  How SHA-256 Works — step-by-step explanation</t>
  </si>
  <si>
    <t xml:space="preserve">  Step 1 · Входная строка</t>
  </si>
  <si>
    <t>Берём любую строку (например «hello»). Каждый символ — это байт (8 бит).
«hello» → [104, 101, 108, 108, 111] = 5 байт = 40 бит.</t>
  </si>
  <si>
    <t xml:space="preserve">  Step 2 · Padding</t>
  </si>
  <si>
    <t>После последнего байта добавляем 0x80. Затем нули, пока длина ≡ 56 (mod 64).
Отличие от MD5: SHA-256 использует BIG-ENDIAN для всех чисел.</t>
  </si>
  <si>
    <t xml:space="preserve">  Step 3 · Поле длины (big-endian)</t>
  </si>
  <si>
    <t>В байты 56–63 записываем длину в битах как 64-битное BIG-ENDIAN число.
«hello» = 40 бит → байты 56-62 = [0,0,0,0,0,0,0], байт 63 = 40.
Итого 512 бит = 16 слов M[0..15] по 32 бита (big-endian).</t>
  </si>
  <si>
    <t xml:space="preserve">  Step 4 · Начальное состояние</t>
  </si>
  <si>
    <t>Восемь 32-битных констант (дробные части √ первых 8 простых чисел):
H0=0x6a09e667  H1=0xbb67ae85  H2=0x3c6ef372  H3=0xa54ff53a
H4=0x510e527f  H5=0x9b05688c  H6=0x1f83d9ab  H7=0x5be0cd19</t>
  </si>
  <si>
    <t xml:space="preserve">  Step 5 · Message Schedule W[0..63]</t>
  </si>
  <si>
    <t>Сначала W[0..15] = M[0..15] (слова из входного блока).
Затем для i=16..63:
  s0 = ROTR(W[i-15],7) ⊕ ROTR(W[i-15],18) ⊕ SHR(W[i-15],3)
  s1 = ROTR(W[i-2],17) ⊕ ROTR(W[i-2],19)  ⊕ SHR(W[i-2],10)
  W[i] = ADD32(W[i-16], s0, W[i-7], s1)
Эти 64 слова перемешивают входные данные перед сжатием.</t>
  </si>
  <si>
    <t xml:space="preserve">  Step 6 · 64 раунда сжатия</t>
  </si>
  <si>
    <t>Переменные состояния: a,b,c,d,e,f,g,h (копии H0..H7).
Each step:
  S1    = ROTR(e,6) ⊕ ROTR(e,11) ⊕ ROTR(e,25)
  Ch    = AND(e,f) + AND(¬e,g)               ← e выбирает f или g
  temp1 = ADD32(h, S1, Ch, K[i], W[i])
  S0    = ROTR(a,2) ⊕ ROTR(a,13) ⊕ ROTR(a,22)
  Maj   = AND(a,b) + AND(a,c) + AND(b,c) − 2·AND(AND(a,b),AND(b,c))
  temp2 = ADD32(S0, Maj)
  h←g, g←f, f←e, e←ADD32(d,temp1), d←c, c←b, b←a, a←ADD32(temp1,temp2)</t>
  </si>
  <si>
    <t xml:space="preserve">  Функции Ch и Maj</t>
  </si>
  <si>
    <t>Ch(e,f,g) = AND(e,f) + AND(¬e,g)
  Бит e выбирает: если e=1 → берём бит f, если e=0 → берём бит g.
  Как тернарный оператор: e ? f : g
Maj(a,b,c) = AND(a,b) + AND(a,c) + AND(b,c) − 2·AND(AND(a,b),AND(b,c))
  Возвращает бит, который встречается в большинстве из a,b,c.</t>
  </si>
  <si>
    <t xml:space="preserve">  Константы K[i]</t>
  </si>
  <si>
    <t>K[i] = floor(2³² × ∛простое_число[i])  для i = 0..63.
Первые 8 кубических корней простых чисел → 64 псевдослучайных константы.
Таблица всех K[i] на листе «📦 SHA-256 Constants».</t>
  </si>
  <si>
    <t xml:space="preserve">  Step 7 · Finalization</t>
  </si>
  <si>
    <t>После 64 раундов прибавляем исходные константы (mod 2³²):
  H0+=a,  H1+=b,  H2+=c,  H3+=d
  H4+=e,  H5+=f,  H6+=g,  H7+=h
Каждое Hi → 8 hex-символов BIG-ENDIAN → итого 64 hex-символа = 256 бит.</t>
  </si>
  <si>
    <t xml:space="preserve">  Excel Implementation</t>
  </si>
  <si>
    <t>Побитовые операции через INT/MOD:
· AND32(a,b): разбивка на 4 байта × 8 бит
· XOR32(a,b) = a + b − 2·AND32(a,b)
· XOR3(x,y,z) = XOR(XOR(x,y), z)  — нужно 2 вызова AND32 + 2 пром. ячейки
· ROTR32(x,n) = MOD(MOD(x,2^n)·2^(32−n) + INT(x/2^n), 2³²)
· SHR32(x,n) = INT(x/2^n)
· Ch и Maj используют те же AND32 с промежуточными ячейками-помощниками</t>
  </si>
  <si>
    <t>🔤  Input string → ASCII → binary bits</t>
  </si>
  <si>
    <t>№</t>
  </si>
  <si>
    <t>Char</t>
  </si>
  <si>
    <t>ASCII</t>
  </si>
  <si>
    <t>Hex</t>
  </si>
  <si>
    <t>б7</t>
  </si>
  <si>
    <t>б6</t>
  </si>
  <si>
    <t>б5</t>
  </si>
  <si>
    <t>б4</t>
  </si>
  <si>
    <t>б3</t>
  </si>
  <si>
    <t>б2</t>
  </si>
  <si>
    <t>б1</t>
  </si>
  <si>
    <t>б0</t>
  </si>
  <si>
    <t>Input length (bytes):</t>
  </si>
  <si>
    <t>Length in bits:</t>
  </si>
  <si>
    <t>📦  SHA-256 Constants — K[i] (from cube roots of primes)</t>
  </si>
  <si>
    <t>K[i] = floor(2³² × ∛p[i])  где p[i] — i-е простое число.  Начальные значения H0..H7 = floor(2³² × √p[i]).  Используются в каждом из 64 раундов сжатия.</t>
  </si>
  <si>
    <t>i</t>
  </si>
  <si>
    <t>K[i] decimal</t>
  </si>
  <si>
    <t>K[i] hex</t>
  </si>
  <si>
    <t>Простое</t>
  </si>
  <si>
    <t>0x428A2F98</t>
  </si>
  <si>
    <t>0x71374491</t>
  </si>
  <si>
    <t>0xB5C0FBCF</t>
  </si>
  <si>
    <t>0xE9B5DBA5</t>
  </si>
  <si>
    <t>0x3956C25B</t>
  </si>
  <si>
    <t>0x59F111F1</t>
  </si>
  <si>
    <t>0x923F82A4</t>
  </si>
  <si>
    <t>0xAB1C5ED5</t>
  </si>
  <si>
    <t>0xD807AA98</t>
  </si>
  <si>
    <t>0x12835B01</t>
  </si>
  <si>
    <t>0x243185BE</t>
  </si>
  <si>
    <t>0x550C7DC3</t>
  </si>
  <si>
    <t>0x72BE5D74</t>
  </si>
  <si>
    <t>0x80DEB1FE</t>
  </si>
  <si>
    <t>0x9BDC06A7</t>
  </si>
  <si>
    <t>0xC19BF174</t>
  </si>
  <si>
    <t>0xE49B69C1</t>
  </si>
  <si>
    <t>0xEFBE4786</t>
  </si>
  <si>
    <t>0xFC19DC6</t>
  </si>
  <si>
    <t>0x240CA1CC</t>
  </si>
  <si>
    <t>0x2DE92C6F</t>
  </si>
  <si>
    <t>0x4A7484AA</t>
  </si>
  <si>
    <t>0x5CB0A9DC</t>
  </si>
  <si>
    <t>0x76F988DA</t>
  </si>
  <si>
    <t>0x983E5152</t>
  </si>
  <si>
    <t>0xA831C66D</t>
  </si>
  <si>
    <t>0xB00327C8</t>
  </si>
  <si>
    <t>0xBF597FC7</t>
  </si>
  <si>
    <t>0xC6E00BF3</t>
  </si>
  <si>
    <t>0xD5A79147</t>
  </si>
  <si>
    <t>0x6CA6351</t>
  </si>
  <si>
    <t>0x14292967</t>
  </si>
  <si>
    <t>0x27B70A85</t>
  </si>
  <si>
    <t>0x2E1B2138</t>
  </si>
  <si>
    <t>0x4D2C6DFC</t>
  </si>
  <si>
    <t>0x53380D13</t>
  </si>
  <si>
    <t>0x650A7354</t>
  </si>
  <si>
    <t>0x766A0ABB</t>
  </si>
  <si>
    <t>0x81C2C92E</t>
  </si>
  <si>
    <t>0x92722C85</t>
  </si>
  <si>
    <t>0xA2BFE8A1</t>
  </si>
  <si>
    <t>0xA81A664B</t>
  </si>
  <si>
    <t>0xC24B8B70</t>
  </si>
  <si>
    <t>0xC76C51A3</t>
  </si>
  <si>
    <t>0xD192E819</t>
  </si>
  <si>
    <t>0xD6990624</t>
  </si>
  <si>
    <t>0xF40E3585</t>
  </si>
  <si>
    <t>0x106AA070</t>
  </si>
  <si>
    <t>0x19A4C116</t>
  </si>
  <si>
    <t>0x1E376C08</t>
  </si>
  <si>
    <t>0x2748774C</t>
  </si>
  <si>
    <t>0x34B0BCB5</t>
  </si>
  <si>
    <t>0x391C0CB3</t>
  </si>
  <si>
    <t>0x4ED8AA4A</t>
  </si>
  <si>
    <t>0x5B9CCA4F</t>
  </si>
  <si>
    <t>0x682E6FF3</t>
  </si>
  <si>
    <t>0x748F82EE</t>
  </si>
  <si>
    <t>0x78A5636F</t>
  </si>
  <si>
    <t>0x84C87814</t>
  </si>
  <si>
    <t>0x8CC70208</t>
  </si>
  <si>
    <t>0x90BEFFFA</t>
  </si>
  <si>
    <t>0xA4506CEB</t>
  </si>
  <si>
    <t>0xBEF9A3F7</t>
  </si>
  <si>
    <t>0xC67178F2</t>
  </si>
  <si>
    <t>⚙️  Computation SHA-256 — 64 раунда сжатия + расписание сообщения W[i]</t>
  </si>
  <si>
    <t>Message Schedule W[i]</t>
  </si>
  <si>
    <t>SHA-256 HASH:</t>
  </si>
  <si>
    <t>Each step: S1=XOR3(ROTR(e,6),ROTR(e,11),ROTR(e,25))  Ch=AND(e,f)+AND(¬e,g)  temp1=ADD32(h,S1,Ch,K[i],W[i])  S0=XOR3(ROTR(a,2),ROTR(a,13),ROTR(a,22))  Maj=AND(a,b)+AND(a,c)+AND(b,c)−2·AND(AND(a,b),AND(b,c))  temp2=ADD32(S0,Maj)  |  a..h — 8 переменных состояния</t>
  </si>
  <si>
    <t>Step</t>
  </si>
  <si>
    <t>a</t>
  </si>
  <si>
    <t>b</t>
  </si>
  <si>
    <t>c</t>
  </si>
  <si>
    <t>d</t>
  </si>
  <si>
    <t>e</t>
  </si>
  <si>
    <t>f</t>
  </si>
  <si>
    <t>g</t>
  </si>
  <si>
    <t>h</t>
  </si>
  <si>
    <t>AN(e,f)</t>
  </si>
  <si>
    <t>AN(¬e,g)</t>
  </si>
  <si>
    <t>Ch</t>
  </si>
  <si>
    <t>AN(a,b)</t>
  </si>
  <si>
    <t>AN(a,c)</t>
  </si>
  <si>
    <t>AN(b,c)</t>
  </si>
  <si>
    <t>AN(ab,bc)</t>
  </si>
  <si>
    <t>Maj</t>
  </si>
  <si>
    <t>ROTR(e,6)</t>
  </si>
  <si>
    <t>ROTR(e,11)</t>
  </si>
  <si>
    <t>ROTR(e,25)</t>
  </si>
  <si>
    <t>AN(r6,r11)</t>
  </si>
  <si>
    <t>XOR(r6,r11)</t>
  </si>
  <si>
    <t>AN(xr,r25)</t>
  </si>
  <si>
    <t>S1</t>
  </si>
  <si>
    <t>ROTR(a,2)</t>
  </si>
  <si>
    <t>ROTR(a,13)</t>
  </si>
  <si>
    <t>ROTR(a,22)</t>
  </si>
  <si>
    <t>AN(r2,r13)</t>
  </si>
  <si>
    <t>XOR(r2,r13)</t>
  </si>
  <si>
    <t>AN(xr,r22)</t>
  </si>
  <si>
    <t>S0</t>
  </si>
  <si>
    <t>temp1</t>
  </si>
  <si>
    <t>temp2</t>
  </si>
  <si>
    <t>W[i]</t>
  </si>
  <si>
    <t>K[i]</t>
  </si>
  <si>
    <t>Note</t>
  </si>
  <si>
    <t>r7=ROTR(W-15,7)</t>
  </si>
  <si>
    <t>AND(r7,r18)</t>
  </si>
  <si>
    <t>s0</t>
  </si>
  <si>
    <t>r17=ROTR(W-2,17)</t>
  </si>
  <si>
    <t>r19=ROTR(W-2,19)</t>
  </si>
  <si>
    <t>AND(r17,r19)</t>
  </si>
  <si>
    <t>s1</t>
  </si>
  <si>
    <t>INIT</t>
  </si>
  <si>
    <t>a₀..h₀ = H0..H7 (дробные части √первых 8 простых чисел)</t>
  </si>
  <si>
    <t>—</t>
  </si>
  <si>
    <t>Round 1 (шаги 1–16)</t>
  </si>
  <si>
    <t>step=2  W[1]</t>
  </si>
  <si>
    <t>step=3  W[2]</t>
  </si>
  <si>
    <t>step=4  W[3]</t>
  </si>
  <si>
    <t>step=5  W[4]</t>
  </si>
  <si>
    <t>step=6  W[5]</t>
  </si>
  <si>
    <t>step=7  W[6]</t>
  </si>
  <si>
    <t>step=8  W[7]</t>
  </si>
  <si>
    <t>step=9  W[8]</t>
  </si>
  <si>
    <t>step=10  W[9]</t>
  </si>
  <si>
    <t>step=11  W[10]</t>
  </si>
  <si>
    <t>step=12  W[11]</t>
  </si>
  <si>
    <t>step=13  W[12]</t>
  </si>
  <si>
    <t>step=14  W[13]</t>
  </si>
  <si>
    <t>step=15  W[14]</t>
  </si>
  <si>
    <t>step=16  W[15]</t>
  </si>
  <si>
    <t>Round 2 (шаги 17–32)</t>
  </si>
  <si>
    <t>step=18  W[17]</t>
  </si>
  <si>
    <t>step=19  W[18]</t>
  </si>
  <si>
    <t>step=20  W[19]</t>
  </si>
  <si>
    <t>step=21  W[20]</t>
  </si>
  <si>
    <t>step=22  W[21]</t>
  </si>
  <si>
    <t>step=23  W[22]</t>
  </si>
  <si>
    <t>step=24  W[23]</t>
  </si>
  <si>
    <t>step=25  W[24]</t>
  </si>
  <si>
    <t>step=26  W[25]</t>
  </si>
  <si>
    <t>step=27  W[26]</t>
  </si>
  <si>
    <t>step=28  W[27]</t>
  </si>
  <si>
    <t>step=29  W[28]</t>
  </si>
  <si>
    <t>step=30  W[29]</t>
  </si>
  <si>
    <t>step=31  W[30]</t>
  </si>
  <si>
    <t>step=32  W[31]</t>
  </si>
  <si>
    <t>Round 3 (шаги 33–48)</t>
  </si>
  <si>
    <t>step=34  W[33]</t>
  </si>
  <si>
    <t>step=35  W[34]</t>
  </si>
  <si>
    <t>step=36  W[35]</t>
  </si>
  <si>
    <t>step=37  W[36]</t>
  </si>
  <si>
    <t>step=38  W[37]</t>
  </si>
  <si>
    <t>step=39  W[38]</t>
  </si>
  <si>
    <t>step=40  W[39]</t>
  </si>
  <si>
    <t>step=41  W[40]</t>
  </si>
  <si>
    <t>step=42  W[41]</t>
  </si>
  <si>
    <t>step=43  W[42]</t>
  </si>
  <si>
    <t>step=44  W[43]</t>
  </si>
  <si>
    <t>step=45  W[44]</t>
  </si>
  <si>
    <t>step=46  W[45]</t>
  </si>
  <si>
    <t>step=47  W[46]</t>
  </si>
  <si>
    <t>step=48  W[47]</t>
  </si>
  <si>
    <t>Round 4 (шаги 49–64)</t>
  </si>
  <si>
    <t>step=50  W[49]</t>
  </si>
  <si>
    <t>step=51  W[50]</t>
  </si>
  <si>
    <t>step=52  W[51]</t>
  </si>
  <si>
    <t>step=53  W[52]</t>
  </si>
  <si>
    <t>step=54  W[53]</t>
  </si>
  <si>
    <t>step=55  W[54]</t>
  </si>
  <si>
    <t>step=56  W[55]</t>
  </si>
  <si>
    <t>step=57  W[56]</t>
  </si>
  <si>
    <t>step=58  W[57]</t>
  </si>
  <si>
    <t>step=59  W[58]</t>
  </si>
  <si>
    <t>step=60  W[59]</t>
  </si>
  <si>
    <t>step=61  W[60]</t>
  </si>
  <si>
    <t>step=62  W[61]</t>
  </si>
  <si>
    <t>step=63  W[62]</t>
  </si>
  <si>
    <t>step=64  W[63]</t>
  </si>
  <si>
    <t>FINAL</t>
  </si>
  <si>
    <t>← Add H0..H7 (mod 2³²) to each variable — Davies–Meyer feed-forward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</si>
</sst>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22"/>
      <color rgb="FF1F3864"/>
      <name val="Calibri"/>
      <family val="2"/>
      <charset val="204"/>
    </font>
    <font>
      <b/>
      <sz val="12"/>
      <color rgb="FF1F3864"/>
      <name val="Courier New"/>
      <family val="3"/>
      <charset val="204"/>
    </font>
    <font>
      <b/>
      <sz val="10"/>
      <color rgb="FF1F3864"/>
      <name val="Calibri"/>
      <family val="2"/>
      <charset val="204"/>
    </font>
    <font>
      <i/>
      <sz val="9"/>
      <color rgb="FF375623"/>
      <name val="Calibri"/>
      <family val="2"/>
      <charset val="204"/>
    </font>
    <font>
      <i/>
      <sz val="9"/>
      <color rgb="FF833C00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9"/>
      <color rgb="FF1F3864"/>
      <name val="Calibri"/>
      <family val="2"/>
      <charset val="204"/>
    </font>
    <font>
      <b/>
      <sz val="13"/>
      <color rgb="FFFFFFFF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9"/>
      <color rgb="FF1F3864"/>
      <name val="Calibri"/>
      <family val="2"/>
      <charset val="204"/>
    </font>
    <font>
      <sz val="9"/>
      <color rgb="FF000000"/>
      <name val="Courier New"/>
      <family val="3"/>
      <charset val="204"/>
    </font>
    <font>
      <i/>
      <sz val="9"/>
      <color rgb="FF1F3864"/>
      <name val="Calibri"/>
      <family val="2"/>
      <charset val="204"/>
    </font>
    <font>
      <b/>
      <sz val="11"/>
      <color rgb="FF1F3864"/>
      <name val="Courier New"/>
      <family val="3"/>
      <charset val="204"/>
    </font>
    <font>
      <i/>
      <sz val="8"/>
      <color rgb="FF1F3864"/>
      <name val="Calibri"/>
      <family val="2"/>
      <charset val="204"/>
    </font>
    <font>
      <b/>
      <sz val="7"/>
      <color rgb="FFFFFFFF"/>
      <name val="Calibri"/>
      <family val="2"/>
      <charset val="204"/>
    </font>
    <font>
      <i/>
      <sz val="8"/>
      <color rgb="FF404040"/>
      <name val="Calibri"/>
      <family val="2"/>
      <charset val="204"/>
    </font>
    <font>
      <sz val="8"/>
      <color rgb="FF000000"/>
      <name val="Courier New"/>
      <family val="3"/>
      <charset val="204"/>
    </font>
    <font>
      <sz val="7"/>
      <color rgb="FFAAAAAA"/>
      <name val="Calibri"/>
      <family val="2"/>
      <charset val="204"/>
    </font>
    <font>
      <b/>
      <sz val="8"/>
      <color rgb="FFFFFFFF"/>
      <name val="Calibri"/>
      <family val="2"/>
      <charset val="204"/>
    </font>
    <font>
      <i/>
      <sz val="9"/>
      <color rgb="FF404040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E2EFDA"/>
        <bgColor rgb="FFDEEBF7"/>
      </patternFill>
    </fill>
    <fill>
      <patternFill patternType="solid">
        <fgColor rgb="FFD6E4F7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F4F6FB"/>
        <bgColor rgb="FFF5F5F5"/>
      </patternFill>
    </fill>
    <fill>
      <patternFill patternType="solid">
        <fgColor rgb="FFFFFFFF"/>
        <bgColor rgb="FFF4F6FB"/>
      </patternFill>
    </fill>
    <fill>
      <patternFill patternType="solid">
        <fgColor rgb="FFEEF4FF"/>
        <bgColor rgb="FFEDF2F9"/>
      </patternFill>
    </fill>
    <fill>
      <patternFill patternType="solid">
        <fgColor rgb="FFF5F5F5"/>
        <bgColor rgb="FFF4F6FB"/>
      </patternFill>
    </fill>
    <fill>
      <patternFill patternType="solid">
        <fgColor rgb="FFEDF2F9"/>
        <bgColor rgb="FFEEF4FF"/>
      </patternFill>
    </fill>
    <fill>
      <patternFill patternType="solid">
        <fgColor rgb="FFED7D31"/>
        <bgColor rgb="FFFF8080"/>
      </patternFill>
    </fill>
    <fill>
      <patternFill patternType="solid">
        <fgColor rgb="FFDEEBF7"/>
        <bgColor rgb="FFD6E4F7"/>
      </patternFill>
    </fill>
    <fill>
      <patternFill patternType="solid">
        <fgColor rgb="FF70AD47"/>
        <bgColor rgb="FF99CC00"/>
      </patternFill>
    </fill>
    <fill>
      <patternFill patternType="solid">
        <fgColor rgb="FF7030A0"/>
        <bgColor rgb="FF993366"/>
      </patternFill>
    </fill>
  </fills>
  <borders count="5">
    <border>
      <left/>
      <right/>
      <top/>
      <bottom/>
      <diagonal/>
    </border>
    <border>
      <left style="medium">
        <color rgb="FF833C00"/>
      </left>
      <right/>
      <top style="medium">
        <color rgb="FF833C00"/>
      </top>
      <bottom style="medium">
        <color rgb="FF833C00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8" borderId="3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3" fillId="4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0" fillId="13" borderId="4" xfId="0" applyFill="1" applyBorder="1" applyAlignment="1"/>
    <xf numFmtId="0" fontId="19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0" fontId="23" fillId="17" borderId="4" xfId="0" applyFont="1" applyFill="1" applyBorder="1" applyAlignment="1">
      <alignment horizontal="center" vertical="center"/>
    </xf>
    <xf numFmtId="0" fontId="23" fillId="18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 vertical="center" wrapText="1"/>
    </xf>
    <xf numFmtId="0" fontId="24" fillId="10" borderId="3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7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2EFDA"/>
      <rgbColor rgb="FFF5F5F5"/>
      <rgbColor rgb="FFEDF2F9"/>
      <rgbColor rgb="FFF2F2F2"/>
      <rgbColor rgb="FFF4F6FB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AAAAAA"/>
      <rgbColor rgb="FF1F3864"/>
      <rgbColor rgb="FF70AD47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B8" sqref="B8:C8"/>
    </sheetView>
  </sheetViews>
  <sheetFormatPr defaultColWidth="8.7109375" defaultRowHeight="15" x14ac:dyDescent="0.25"/>
  <cols>
    <col min="1" max="1" width="3" style="14" customWidth="1"/>
    <col min="2" max="2" width="32" style="14" customWidth="1"/>
    <col min="3" max="3" width="50" style="14" customWidth="1"/>
  </cols>
  <sheetData>
    <row r="1" spans="2:3" ht="37.5" customHeight="1" x14ac:dyDescent="0.25">
      <c r="B1" s="13" t="s">
        <v>0</v>
      </c>
      <c r="C1" s="13"/>
    </row>
    <row r="2" spans="2:3" ht="15" customHeight="1" x14ac:dyDescent="0.25">
      <c r="B2" s="12" t="s">
        <v>1</v>
      </c>
      <c r="C2" s="12"/>
    </row>
    <row r="4" spans="2:3" ht="24" customHeight="1" x14ac:dyDescent="0.25">
      <c r="B4" s="11" t="s">
        <v>2</v>
      </c>
      <c r="C4" s="11"/>
    </row>
    <row r="5" spans="2:3" ht="39.75" customHeight="1" x14ac:dyDescent="0.25">
      <c r="B5" s="10" t="s">
        <v>3</v>
      </c>
      <c r="C5" s="10"/>
    </row>
    <row r="7" spans="2:3" ht="21.75" customHeight="1" x14ac:dyDescent="0.25">
      <c r="B7" s="9" t="s">
        <v>4</v>
      </c>
      <c r="C7" s="9"/>
    </row>
    <row r="8" spans="2:3" ht="33.75" customHeight="1" x14ac:dyDescent="0.25">
      <c r="B8" s="43" t="str">
        <f>'⚙️ Computation'!E2</f>
        <v>2cf24dba5fb0a30e26e83b2ac5b9e29e1b161e5c1fa7425e73043362938b9824</v>
      </c>
      <c r="C8" s="43"/>
    </row>
    <row r="10" spans="2:3" ht="15" customHeight="1" x14ac:dyDescent="0.25">
      <c r="B10" s="8" t="s">
        <v>5</v>
      </c>
      <c r="C10" s="8"/>
    </row>
    <row r="12" spans="2:3" ht="21.75" customHeight="1" x14ac:dyDescent="0.25">
      <c r="B12" s="7" t="s">
        <v>6</v>
      </c>
      <c r="C12" s="7"/>
    </row>
    <row r="13" spans="2:3" ht="19.5" customHeight="1" x14ac:dyDescent="0.25">
      <c r="B13" s="6" t="s">
        <v>7</v>
      </c>
      <c r="C13" s="6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30" style="14" customWidth="1"/>
    <col min="3" max="3" width="72" style="14" customWidth="1"/>
  </cols>
  <sheetData>
    <row r="1" spans="2:3" ht="30" customHeight="1" x14ac:dyDescent="0.25">
      <c r="B1" s="5" t="s">
        <v>8</v>
      </c>
      <c r="C1" s="5"/>
    </row>
    <row r="2" spans="2:3" ht="15" customHeight="1" x14ac:dyDescent="0.25">
      <c r="B2" s="4" t="s">
        <v>9</v>
      </c>
      <c r="C2" s="4"/>
    </row>
    <row r="3" spans="2:3" ht="43.5" customHeight="1" x14ac:dyDescent="0.25">
      <c r="B3" s="3" t="s">
        <v>10</v>
      </c>
      <c r="C3" s="3"/>
    </row>
    <row r="4" spans="2:3" ht="15" customHeight="1" x14ac:dyDescent="0.25">
      <c r="B4" s="4" t="s">
        <v>11</v>
      </c>
      <c r="C4" s="4"/>
    </row>
    <row r="5" spans="2:3" ht="43.5" customHeight="1" x14ac:dyDescent="0.25">
      <c r="B5" s="3" t="s">
        <v>12</v>
      </c>
      <c r="C5" s="3"/>
    </row>
    <row r="6" spans="2:3" ht="15" customHeight="1" x14ac:dyDescent="0.25">
      <c r="B6" s="4" t="s">
        <v>13</v>
      </c>
      <c r="C6" s="4"/>
    </row>
    <row r="7" spans="2:3" ht="60.75" customHeight="1" x14ac:dyDescent="0.25">
      <c r="B7" s="3" t="s">
        <v>14</v>
      </c>
      <c r="C7" s="3"/>
    </row>
    <row r="8" spans="2:3" ht="15" customHeight="1" x14ac:dyDescent="0.25">
      <c r="B8" s="4" t="s">
        <v>15</v>
      </c>
      <c r="C8" s="4"/>
    </row>
    <row r="9" spans="2:3" ht="60.75" customHeight="1" x14ac:dyDescent="0.25">
      <c r="B9" s="3" t="s">
        <v>16</v>
      </c>
      <c r="C9" s="3"/>
    </row>
    <row r="10" spans="2:3" ht="15" customHeight="1" x14ac:dyDescent="0.25">
      <c r="B10" s="4" t="s">
        <v>17</v>
      </c>
      <c r="C10" s="4"/>
    </row>
    <row r="11" spans="2:3" ht="111.75" customHeight="1" x14ac:dyDescent="0.25">
      <c r="B11" s="3" t="s">
        <v>18</v>
      </c>
      <c r="C11" s="3"/>
    </row>
    <row r="12" spans="2:3" ht="15" customHeight="1" x14ac:dyDescent="0.25">
      <c r="B12" s="4" t="s">
        <v>19</v>
      </c>
      <c r="C12" s="4"/>
    </row>
    <row r="13" spans="2:3" ht="162.75" customHeight="1" x14ac:dyDescent="0.25">
      <c r="B13" s="3" t="s">
        <v>20</v>
      </c>
      <c r="C13" s="3"/>
    </row>
    <row r="14" spans="2:3" ht="15" customHeight="1" x14ac:dyDescent="0.25">
      <c r="B14" s="4" t="s">
        <v>21</v>
      </c>
      <c r="C14" s="4"/>
    </row>
    <row r="15" spans="2:3" ht="111.75" customHeight="1" x14ac:dyDescent="0.25">
      <c r="B15" s="3" t="s">
        <v>22</v>
      </c>
      <c r="C15" s="3"/>
    </row>
    <row r="16" spans="2:3" ht="15" customHeight="1" x14ac:dyDescent="0.25">
      <c r="B16" s="4" t="s">
        <v>23</v>
      </c>
      <c r="C16" s="4"/>
    </row>
    <row r="17" spans="2:3" ht="60.75" customHeight="1" x14ac:dyDescent="0.25">
      <c r="B17" s="3" t="s">
        <v>24</v>
      </c>
      <c r="C17" s="3"/>
    </row>
    <row r="18" spans="2:3" ht="15" customHeight="1" x14ac:dyDescent="0.25">
      <c r="B18" s="4" t="s">
        <v>25</v>
      </c>
      <c r="C18" s="4"/>
    </row>
    <row r="19" spans="2:3" ht="78" customHeight="1" x14ac:dyDescent="0.25">
      <c r="B19" s="3" t="s">
        <v>26</v>
      </c>
      <c r="C19" s="3"/>
    </row>
    <row r="20" spans="2:3" ht="15" customHeight="1" x14ac:dyDescent="0.25">
      <c r="B20" s="4" t="s">
        <v>27</v>
      </c>
      <c r="C20" s="4"/>
    </row>
    <row r="21" spans="2:3" ht="129" customHeight="1" x14ac:dyDescent="0.25">
      <c r="B21" s="3" t="s">
        <v>28</v>
      </c>
      <c r="C21" s="3"/>
    </row>
  </sheetData>
  <mergeCells count="21">
    <mergeCell ref="B21:C21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10" style="14" customWidth="1"/>
    <col min="4" max="4" width="12" style="14" customWidth="1"/>
    <col min="5" max="12" width="8" style="14" customWidth="1"/>
    <col min="13" max="13" width="16" style="14" customWidth="1"/>
  </cols>
  <sheetData>
    <row r="1" spans="2:13" ht="27.75" customHeight="1" x14ac:dyDescent="0.25"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15" customHeight="1" x14ac:dyDescent="0.25"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 t="s">
        <v>40</v>
      </c>
      <c r="M2" s="15" t="s">
        <v>41</v>
      </c>
    </row>
    <row r="3" spans="2:13" ht="15" customHeight="1" x14ac:dyDescent="0.25">
      <c r="B3" s="16">
        <v>1</v>
      </c>
      <c r="C3" s="17" t="str">
        <f>IF(LEN('🔐 SHA-256'!B5)&gt;=1,MID('🔐 SHA-256'!B5,1,1),"-")</f>
        <v>h</v>
      </c>
      <c r="D3" s="18">
        <f t="shared" ref="D3:D9" si="0">IF(C3&lt;&gt;"-",CODE(C3),"")</f>
        <v>104</v>
      </c>
      <c r="E3" s="18" t="str">
        <f t="shared" ref="E3:E9" si="1">IF(D3&lt;&gt;"",MID("0123456789abcdef",MOD(INT(D3/16),16)+1,1)&amp;MID("0123456789abcdef",MOD(MOD(D3,16),16)+1,1),"")</f>
        <v>68</v>
      </c>
      <c r="F3" s="18">
        <f t="shared" ref="F3:F9" si="2">IF(D3&lt;&gt;"",MOD(INT(D3/2^7),2),"")</f>
        <v>0</v>
      </c>
      <c r="G3" s="19">
        <f t="shared" ref="G3:G9" si="3">IF(D3&lt;&gt;"",MOD(INT(D3/2^6),2),"")</f>
        <v>1</v>
      </c>
      <c r="H3" s="18">
        <f t="shared" ref="H3:H9" si="4">IF(D3&lt;&gt;"",MOD(INT(D3/2^5),2),"")</f>
        <v>1</v>
      </c>
      <c r="I3" s="19">
        <f t="shared" ref="I3:I9" si="5">IF(D3&lt;&gt;"",MOD(INT(D3/2^4),2),"")</f>
        <v>0</v>
      </c>
      <c r="J3" s="18">
        <f t="shared" ref="J3:J9" si="6">IF(D3&lt;&gt;"",MOD(INT(D3/2^3),2),"")</f>
        <v>1</v>
      </c>
      <c r="K3" s="19">
        <f t="shared" ref="K3:K9" si="7">IF(D3&lt;&gt;"",MOD(INT(D3/2^2),2),"")</f>
        <v>0</v>
      </c>
      <c r="L3" s="18">
        <f t="shared" ref="L3:L9" si="8">IF(D3&lt;&gt;"",MOD(INT(D3/2^1),2),"")</f>
        <v>0</v>
      </c>
      <c r="M3" s="19">
        <f t="shared" ref="M3:M9" si="9">IF(D3&lt;&gt;"",MOD(INT(D3/2^0),2),"")</f>
        <v>0</v>
      </c>
    </row>
    <row r="4" spans="2:13" ht="15" customHeight="1" x14ac:dyDescent="0.25">
      <c r="B4" s="16">
        <v>2</v>
      </c>
      <c r="C4" s="17" t="str">
        <f>IF(LEN('🔐 SHA-256'!B5)&gt;=2,MID('🔐 SHA-256'!B5,2,1),"-")</f>
        <v>e</v>
      </c>
      <c r="D4" s="18">
        <f t="shared" si="0"/>
        <v>101</v>
      </c>
      <c r="E4" s="18" t="str">
        <f t="shared" si="1"/>
        <v>65</v>
      </c>
      <c r="F4" s="18">
        <f t="shared" si="2"/>
        <v>0</v>
      </c>
      <c r="G4" s="19">
        <f t="shared" si="3"/>
        <v>1</v>
      </c>
      <c r="H4" s="18">
        <f t="shared" si="4"/>
        <v>1</v>
      </c>
      <c r="I4" s="19">
        <f t="shared" si="5"/>
        <v>0</v>
      </c>
      <c r="J4" s="18">
        <f t="shared" si="6"/>
        <v>0</v>
      </c>
      <c r="K4" s="19">
        <f t="shared" si="7"/>
        <v>1</v>
      </c>
      <c r="L4" s="18">
        <f t="shared" si="8"/>
        <v>0</v>
      </c>
      <c r="M4" s="19">
        <f t="shared" si="9"/>
        <v>1</v>
      </c>
    </row>
    <row r="5" spans="2:13" ht="15" customHeight="1" x14ac:dyDescent="0.25">
      <c r="B5" s="16">
        <v>3</v>
      </c>
      <c r="C5" s="17" t="str">
        <f>IF(LEN('🔐 SHA-256'!B5)&gt;=3,MID('🔐 SHA-256'!B5,3,1),"-")</f>
        <v>l</v>
      </c>
      <c r="D5" s="18">
        <f t="shared" si="0"/>
        <v>108</v>
      </c>
      <c r="E5" s="18" t="str">
        <f t="shared" si="1"/>
        <v>6c</v>
      </c>
      <c r="F5" s="18">
        <f t="shared" si="2"/>
        <v>0</v>
      </c>
      <c r="G5" s="19">
        <f t="shared" si="3"/>
        <v>1</v>
      </c>
      <c r="H5" s="18">
        <f t="shared" si="4"/>
        <v>1</v>
      </c>
      <c r="I5" s="19">
        <f t="shared" si="5"/>
        <v>0</v>
      </c>
      <c r="J5" s="18">
        <f t="shared" si="6"/>
        <v>1</v>
      </c>
      <c r="K5" s="19">
        <f t="shared" si="7"/>
        <v>1</v>
      </c>
      <c r="L5" s="18">
        <f t="shared" si="8"/>
        <v>0</v>
      </c>
      <c r="M5" s="19">
        <f t="shared" si="9"/>
        <v>0</v>
      </c>
    </row>
    <row r="6" spans="2:13" ht="15" customHeight="1" x14ac:dyDescent="0.25">
      <c r="B6" s="16">
        <v>4</v>
      </c>
      <c r="C6" s="17" t="str">
        <f>IF(LEN('🔐 SHA-256'!B5)&gt;=4,MID('🔐 SHA-256'!B5,4,1),"-")</f>
        <v>l</v>
      </c>
      <c r="D6" s="18">
        <f t="shared" si="0"/>
        <v>108</v>
      </c>
      <c r="E6" s="18" t="str">
        <f t="shared" si="1"/>
        <v>6c</v>
      </c>
      <c r="F6" s="18">
        <f t="shared" si="2"/>
        <v>0</v>
      </c>
      <c r="G6" s="19">
        <f t="shared" si="3"/>
        <v>1</v>
      </c>
      <c r="H6" s="18">
        <f t="shared" si="4"/>
        <v>1</v>
      </c>
      <c r="I6" s="19">
        <f t="shared" si="5"/>
        <v>0</v>
      </c>
      <c r="J6" s="18">
        <f t="shared" si="6"/>
        <v>1</v>
      </c>
      <c r="K6" s="19">
        <f t="shared" si="7"/>
        <v>1</v>
      </c>
      <c r="L6" s="18">
        <f t="shared" si="8"/>
        <v>0</v>
      </c>
      <c r="M6" s="19">
        <f t="shared" si="9"/>
        <v>0</v>
      </c>
    </row>
    <row r="7" spans="2:13" ht="15" customHeight="1" x14ac:dyDescent="0.25">
      <c r="B7" s="16">
        <v>5</v>
      </c>
      <c r="C7" s="17" t="str">
        <f>IF(LEN('🔐 SHA-256'!B5)&gt;=5,MID('🔐 SHA-256'!B5,5,1),"-")</f>
        <v>o</v>
      </c>
      <c r="D7" s="18">
        <f t="shared" si="0"/>
        <v>111</v>
      </c>
      <c r="E7" s="18" t="str">
        <f t="shared" si="1"/>
        <v>6f</v>
      </c>
      <c r="F7" s="18">
        <f t="shared" si="2"/>
        <v>0</v>
      </c>
      <c r="G7" s="19">
        <f t="shared" si="3"/>
        <v>1</v>
      </c>
      <c r="H7" s="18">
        <f t="shared" si="4"/>
        <v>1</v>
      </c>
      <c r="I7" s="19">
        <f t="shared" si="5"/>
        <v>0</v>
      </c>
      <c r="J7" s="18">
        <f t="shared" si="6"/>
        <v>1</v>
      </c>
      <c r="K7" s="19">
        <f t="shared" si="7"/>
        <v>1</v>
      </c>
      <c r="L7" s="18">
        <f t="shared" si="8"/>
        <v>1</v>
      </c>
      <c r="M7" s="19">
        <f t="shared" si="9"/>
        <v>1</v>
      </c>
    </row>
    <row r="8" spans="2:13" ht="15" customHeight="1" x14ac:dyDescent="0.25">
      <c r="B8" s="16">
        <v>6</v>
      </c>
      <c r="C8" s="17" t="str">
        <f>IF(LEN('🔐 SHA-256'!B5)&gt;=6,MID('🔐 SHA-256'!B5,6,1),"-")</f>
        <v>-</v>
      </c>
      <c r="D8" s="18" t="str">
        <f t="shared" si="0"/>
        <v/>
      </c>
      <c r="E8" s="18" t="str">
        <f t="shared" si="1"/>
        <v/>
      </c>
      <c r="F8" s="18" t="str">
        <f t="shared" si="2"/>
        <v/>
      </c>
      <c r="G8" s="19" t="str">
        <f t="shared" si="3"/>
        <v/>
      </c>
      <c r="H8" s="18" t="str">
        <f t="shared" si="4"/>
        <v/>
      </c>
      <c r="I8" s="19" t="str">
        <f t="shared" si="5"/>
        <v/>
      </c>
      <c r="J8" s="18" t="str">
        <f t="shared" si="6"/>
        <v/>
      </c>
      <c r="K8" s="19" t="str">
        <f t="shared" si="7"/>
        <v/>
      </c>
      <c r="L8" s="18" t="str">
        <f t="shared" si="8"/>
        <v/>
      </c>
      <c r="M8" s="19" t="str">
        <f t="shared" si="9"/>
        <v/>
      </c>
    </row>
    <row r="9" spans="2:13" ht="15" customHeight="1" x14ac:dyDescent="0.25">
      <c r="B9" s="16">
        <v>7</v>
      </c>
      <c r="C9" s="17" t="str">
        <f>IF(LEN('🔐 SHA-256'!B5)&gt;=7,MID('🔐 SHA-256'!B5,7,1),"-")</f>
        <v>-</v>
      </c>
      <c r="D9" s="18" t="str">
        <f t="shared" si="0"/>
        <v/>
      </c>
      <c r="E9" s="18" t="str">
        <f t="shared" si="1"/>
        <v/>
      </c>
      <c r="F9" s="18" t="str">
        <f t="shared" si="2"/>
        <v/>
      </c>
      <c r="G9" s="19" t="str">
        <f t="shared" si="3"/>
        <v/>
      </c>
      <c r="H9" s="18" t="str">
        <f t="shared" si="4"/>
        <v/>
      </c>
      <c r="I9" s="19" t="str">
        <f t="shared" si="5"/>
        <v/>
      </c>
      <c r="J9" s="18" t="str">
        <f t="shared" si="6"/>
        <v/>
      </c>
      <c r="K9" s="19" t="str">
        <f t="shared" si="7"/>
        <v/>
      </c>
      <c r="L9" s="18" t="str">
        <f t="shared" si="8"/>
        <v/>
      </c>
      <c r="M9" s="19" t="str">
        <f t="shared" si="9"/>
        <v/>
      </c>
    </row>
    <row r="10" spans="2:13" ht="15" customHeight="1" x14ac:dyDescent="0.25">
      <c r="B10" s="1" t="s">
        <v>42</v>
      </c>
      <c r="C10" s="1"/>
      <c r="D10" s="1"/>
      <c r="E10" s="20">
        <f>LEN('🔐 SHA-256'!B5)</f>
        <v>5</v>
      </c>
      <c r="F10" s="1" t="s">
        <v>43</v>
      </c>
      <c r="G10" s="1"/>
      <c r="H10" s="1"/>
      <c r="I10" s="20">
        <f>E10*8</f>
        <v>40</v>
      </c>
    </row>
  </sheetData>
  <mergeCells count="3">
    <mergeCell ref="B1:M1"/>
    <mergeCell ref="B10:D10"/>
    <mergeCell ref="F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18" style="14" customWidth="1"/>
    <col min="4" max="4" width="14" style="14" customWidth="1"/>
    <col min="5" max="5" width="12" style="14" customWidth="1"/>
    <col min="6" max="7" width="6" style="14" customWidth="1"/>
    <col min="8" max="8" width="18" style="14" customWidth="1"/>
    <col min="9" max="9" width="14" style="14" customWidth="1"/>
    <col min="10" max="10" width="12" style="14" customWidth="1"/>
  </cols>
  <sheetData>
    <row r="1" spans="2:10" ht="27.75" customHeight="1" x14ac:dyDescent="0.25">
      <c r="B1" s="2" t="s">
        <v>44</v>
      </c>
      <c r="C1" s="2"/>
      <c r="D1" s="2"/>
      <c r="E1" s="2"/>
      <c r="F1" s="2"/>
      <c r="G1" s="2"/>
      <c r="H1" s="2"/>
      <c r="I1" s="2"/>
      <c r="J1" s="2"/>
    </row>
    <row r="2" spans="2:10" ht="27.75" customHeight="1" x14ac:dyDescent="0.25">
      <c r="B2" s="39" t="s">
        <v>45</v>
      </c>
      <c r="C2" s="39"/>
      <c r="D2" s="39"/>
      <c r="E2" s="39"/>
      <c r="F2" s="39"/>
      <c r="G2" s="39"/>
      <c r="H2" s="39"/>
      <c r="I2" s="39"/>
      <c r="J2" s="39"/>
    </row>
    <row r="3" spans="2:10" ht="15" customHeight="1" x14ac:dyDescent="0.25">
      <c r="B3" s="15" t="s">
        <v>46</v>
      </c>
      <c r="C3" s="15" t="s">
        <v>47</v>
      </c>
      <c r="D3" s="15" t="s">
        <v>48</v>
      </c>
      <c r="E3" s="15" t="s">
        <v>49</v>
      </c>
      <c r="F3" s="21"/>
      <c r="G3" s="15" t="s">
        <v>46</v>
      </c>
      <c r="H3" s="15" t="s">
        <v>47</v>
      </c>
      <c r="I3" s="15" t="s">
        <v>48</v>
      </c>
      <c r="J3" s="15" t="s">
        <v>49</v>
      </c>
    </row>
    <row r="4" spans="2:10" ht="15" customHeight="1" x14ac:dyDescent="0.25">
      <c r="B4" s="22">
        <v>0</v>
      </c>
      <c r="C4" s="18">
        <v>1116352408</v>
      </c>
      <c r="D4" s="18" t="s">
        <v>50</v>
      </c>
      <c r="E4" s="22">
        <v>2</v>
      </c>
      <c r="F4" s="23"/>
    </row>
    <row r="5" spans="2:10" ht="15" customHeight="1" x14ac:dyDescent="0.25">
      <c r="B5" s="22">
        <v>1</v>
      </c>
      <c r="C5" s="18">
        <v>1899447441</v>
      </c>
      <c r="D5" s="18" t="s">
        <v>51</v>
      </c>
      <c r="E5" s="22">
        <v>3</v>
      </c>
      <c r="F5" s="23"/>
    </row>
    <row r="6" spans="2:10" ht="15" customHeight="1" x14ac:dyDescent="0.25">
      <c r="B6" s="22">
        <v>2</v>
      </c>
      <c r="C6" s="18">
        <v>3049323471</v>
      </c>
      <c r="D6" s="18" t="s">
        <v>52</v>
      </c>
      <c r="E6" s="22">
        <v>5</v>
      </c>
      <c r="F6" s="23"/>
    </row>
    <row r="7" spans="2:10" ht="15" customHeight="1" x14ac:dyDescent="0.25">
      <c r="B7" s="22">
        <v>3</v>
      </c>
      <c r="C7" s="18">
        <v>3921009573</v>
      </c>
      <c r="D7" s="18" t="s">
        <v>53</v>
      </c>
      <c r="E7" s="22">
        <v>7</v>
      </c>
      <c r="F7" s="23"/>
    </row>
    <row r="8" spans="2:10" ht="15" customHeight="1" x14ac:dyDescent="0.25">
      <c r="B8" s="22">
        <v>4</v>
      </c>
      <c r="C8" s="18">
        <v>961987163</v>
      </c>
      <c r="D8" s="18" t="s">
        <v>54</v>
      </c>
      <c r="E8" s="22">
        <v>11</v>
      </c>
      <c r="F8" s="23"/>
    </row>
    <row r="9" spans="2:10" ht="15" customHeight="1" x14ac:dyDescent="0.25">
      <c r="B9" s="22">
        <v>5</v>
      </c>
      <c r="C9" s="18">
        <v>1508970993</v>
      </c>
      <c r="D9" s="18" t="s">
        <v>55</v>
      </c>
      <c r="E9" s="22">
        <v>13</v>
      </c>
      <c r="F9" s="23"/>
    </row>
    <row r="10" spans="2:10" ht="15" customHeight="1" x14ac:dyDescent="0.25">
      <c r="B10" s="22">
        <v>6</v>
      </c>
      <c r="C10" s="18">
        <v>2453635748</v>
      </c>
      <c r="D10" s="18" t="s">
        <v>56</v>
      </c>
      <c r="E10" s="22">
        <v>17</v>
      </c>
      <c r="F10" s="23"/>
    </row>
    <row r="11" spans="2:10" ht="15" customHeight="1" x14ac:dyDescent="0.25">
      <c r="B11" s="22">
        <v>7</v>
      </c>
      <c r="C11" s="18">
        <v>2870763221</v>
      </c>
      <c r="D11" s="18" t="s">
        <v>57</v>
      </c>
      <c r="E11" s="22">
        <v>19</v>
      </c>
      <c r="F11" s="23"/>
    </row>
    <row r="12" spans="2:10" ht="15" customHeight="1" x14ac:dyDescent="0.25">
      <c r="B12" s="22">
        <v>8</v>
      </c>
      <c r="C12" s="18">
        <v>3624381080</v>
      </c>
      <c r="D12" s="18" t="s">
        <v>58</v>
      </c>
      <c r="E12" s="22">
        <v>23</v>
      </c>
      <c r="F12" s="23"/>
    </row>
    <row r="13" spans="2:10" ht="15" customHeight="1" x14ac:dyDescent="0.25">
      <c r="B13" s="22">
        <v>9</v>
      </c>
      <c r="C13" s="18">
        <v>310598401</v>
      </c>
      <c r="D13" s="18" t="s">
        <v>59</v>
      </c>
      <c r="E13" s="22">
        <v>29</v>
      </c>
      <c r="F13" s="23"/>
    </row>
    <row r="14" spans="2:10" ht="15" customHeight="1" x14ac:dyDescent="0.25">
      <c r="B14" s="22">
        <v>10</v>
      </c>
      <c r="C14" s="18">
        <v>607225278</v>
      </c>
      <c r="D14" s="18" t="s">
        <v>60</v>
      </c>
      <c r="E14" s="22">
        <v>31</v>
      </c>
      <c r="F14" s="23"/>
    </row>
    <row r="15" spans="2:10" ht="15" customHeight="1" x14ac:dyDescent="0.25">
      <c r="B15" s="22">
        <v>11</v>
      </c>
      <c r="C15" s="18">
        <v>1426881987</v>
      </c>
      <c r="D15" s="18" t="s">
        <v>61</v>
      </c>
      <c r="E15" s="22">
        <v>37</v>
      </c>
      <c r="F15" s="23"/>
    </row>
    <row r="16" spans="2:10" ht="15" customHeight="1" x14ac:dyDescent="0.25">
      <c r="B16" s="22">
        <v>12</v>
      </c>
      <c r="C16" s="18">
        <v>1925078388</v>
      </c>
      <c r="D16" s="18" t="s">
        <v>62</v>
      </c>
      <c r="E16" s="22">
        <v>41</v>
      </c>
      <c r="F16" s="23"/>
    </row>
    <row r="17" spans="2:6" ht="15" customHeight="1" x14ac:dyDescent="0.25">
      <c r="B17" s="22">
        <v>13</v>
      </c>
      <c r="C17" s="18">
        <v>2162078206</v>
      </c>
      <c r="D17" s="18" t="s">
        <v>63</v>
      </c>
      <c r="E17" s="22">
        <v>43</v>
      </c>
      <c r="F17" s="23"/>
    </row>
    <row r="18" spans="2:6" ht="15" customHeight="1" x14ac:dyDescent="0.25">
      <c r="B18" s="22">
        <v>14</v>
      </c>
      <c r="C18" s="18">
        <v>2614888103</v>
      </c>
      <c r="D18" s="18" t="s">
        <v>64</v>
      </c>
      <c r="E18" s="22">
        <v>47</v>
      </c>
      <c r="F18" s="23"/>
    </row>
    <row r="19" spans="2:6" ht="15" customHeight="1" x14ac:dyDescent="0.25">
      <c r="B19" s="22">
        <v>15</v>
      </c>
      <c r="C19" s="18">
        <v>3248222580</v>
      </c>
      <c r="D19" s="18" t="s">
        <v>65</v>
      </c>
      <c r="E19" s="22">
        <v>53</v>
      </c>
      <c r="F19" s="23"/>
    </row>
    <row r="20" spans="2:6" ht="15" customHeight="1" x14ac:dyDescent="0.25">
      <c r="B20" s="22">
        <v>16</v>
      </c>
      <c r="C20" s="18">
        <v>3835390401</v>
      </c>
      <c r="D20" s="18" t="s">
        <v>66</v>
      </c>
      <c r="E20" s="22">
        <v>59</v>
      </c>
      <c r="F20" s="23"/>
    </row>
    <row r="21" spans="2:6" ht="15" customHeight="1" x14ac:dyDescent="0.25">
      <c r="B21" s="22">
        <v>17</v>
      </c>
      <c r="C21" s="18">
        <v>4022224774</v>
      </c>
      <c r="D21" s="18" t="s">
        <v>67</v>
      </c>
      <c r="E21" s="22">
        <v>61</v>
      </c>
      <c r="F21" s="23"/>
    </row>
    <row r="22" spans="2:6" ht="15" customHeight="1" x14ac:dyDescent="0.25">
      <c r="B22" s="22">
        <v>18</v>
      </c>
      <c r="C22" s="18">
        <v>264347078</v>
      </c>
      <c r="D22" s="18" t="s">
        <v>68</v>
      </c>
      <c r="E22" s="22">
        <v>67</v>
      </c>
      <c r="F22" s="23"/>
    </row>
    <row r="23" spans="2:6" ht="15" customHeight="1" x14ac:dyDescent="0.25">
      <c r="B23" s="22">
        <v>19</v>
      </c>
      <c r="C23" s="18">
        <v>604807628</v>
      </c>
      <c r="D23" s="18" t="s">
        <v>69</v>
      </c>
      <c r="E23" s="22">
        <v>71</v>
      </c>
      <c r="F23" s="23"/>
    </row>
    <row r="24" spans="2:6" ht="15" customHeight="1" x14ac:dyDescent="0.25">
      <c r="B24" s="22">
        <v>20</v>
      </c>
      <c r="C24" s="18">
        <v>770255983</v>
      </c>
      <c r="D24" s="18" t="s">
        <v>70</v>
      </c>
      <c r="E24" s="22">
        <v>73</v>
      </c>
      <c r="F24" s="23"/>
    </row>
    <row r="25" spans="2:6" ht="15" customHeight="1" x14ac:dyDescent="0.25">
      <c r="B25" s="22">
        <v>21</v>
      </c>
      <c r="C25" s="18">
        <v>1249150122</v>
      </c>
      <c r="D25" s="18" t="s">
        <v>71</v>
      </c>
      <c r="E25" s="22">
        <v>79</v>
      </c>
      <c r="F25" s="23"/>
    </row>
    <row r="26" spans="2:6" ht="15" customHeight="1" x14ac:dyDescent="0.25">
      <c r="B26" s="22">
        <v>22</v>
      </c>
      <c r="C26" s="18">
        <v>1555081692</v>
      </c>
      <c r="D26" s="18" t="s">
        <v>72</v>
      </c>
      <c r="E26" s="22">
        <v>83</v>
      </c>
      <c r="F26" s="23"/>
    </row>
    <row r="27" spans="2:6" ht="15" customHeight="1" x14ac:dyDescent="0.25">
      <c r="B27" s="22">
        <v>23</v>
      </c>
      <c r="C27" s="18">
        <v>1996064986</v>
      </c>
      <c r="D27" s="18" t="s">
        <v>73</v>
      </c>
      <c r="E27" s="22">
        <v>89</v>
      </c>
      <c r="F27" s="23"/>
    </row>
    <row r="28" spans="2:6" ht="15" customHeight="1" x14ac:dyDescent="0.25">
      <c r="B28" s="22">
        <v>24</v>
      </c>
      <c r="C28" s="18">
        <v>2554220882</v>
      </c>
      <c r="D28" s="18" t="s">
        <v>74</v>
      </c>
      <c r="E28" s="22">
        <v>97</v>
      </c>
      <c r="F28" s="23"/>
    </row>
    <row r="29" spans="2:6" ht="15" customHeight="1" x14ac:dyDescent="0.25">
      <c r="B29" s="22">
        <v>25</v>
      </c>
      <c r="C29" s="18">
        <v>2821834349</v>
      </c>
      <c r="D29" s="18" t="s">
        <v>75</v>
      </c>
      <c r="E29" s="22">
        <v>101</v>
      </c>
      <c r="F29" s="23"/>
    </row>
    <row r="30" spans="2:6" ht="15" customHeight="1" x14ac:dyDescent="0.25">
      <c r="B30" s="22">
        <v>26</v>
      </c>
      <c r="C30" s="18">
        <v>2952996808</v>
      </c>
      <c r="D30" s="18" t="s">
        <v>76</v>
      </c>
      <c r="E30" s="22">
        <v>103</v>
      </c>
      <c r="F30" s="23"/>
    </row>
    <row r="31" spans="2:6" ht="15" customHeight="1" x14ac:dyDescent="0.25">
      <c r="B31" s="22">
        <v>27</v>
      </c>
      <c r="C31" s="18">
        <v>3210313671</v>
      </c>
      <c r="D31" s="18" t="s">
        <v>77</v>
      </c>
      <c r="E31" s="22">
        <v>107</v>
      </c>
      <c r="F31" s="23"/>
    </row>
    <row r="32" spans="2:6" ht="15" customHeight="1" x14ac:dyDescent="0.25">
      <c r="B32" s="22">
        <v>28</v>
      </c>
      <c r="C32" s="18">
        <v>3336571891</v>
      </c>
      <c r="D32" s="18" t="s">
        <v>78</v>
      </c>
      <c r="E32" s="22">
        <v>109</v>
      </c>
      <c r="F32" s="23"/>
    </row>
    <row r="33" spans="2:6" ht="15" customHeight="1" x14ac:dyDescent="0.25">
      <c r="B33" s="22">
        <v>29</v>
      </c>
      <c r="C33" s="18">
        <v>3584528711</v>
      </c>
      <c r="D33" s="18" t="s">
        <v>79</v>
      </c>
      <c r="E33" s="22">
        <v>113</v>
      </c>
      <c r="F33" s="23"/>
    </row>
    <row r="34" spans="2:6" ht="15" customHeight="1" x14ac:dyDescent="0.25">
      <c r="B34" s="22">
        <v>30</v>
      </c>
      <c r="C34" s="18">
        <v>113926993</v>
      </c>
      <c r="D34" s="18" t="s">
        <v>80</v>
      </c>
      <c r="E34" s="22">
        <v>127</v>
      </c>
      <c r="F34" s="23"/>
    </row>
    <row r="35" spans="2:6" ht="15" customHeight="1" x14ac:dyDescent="0.25">
      <c r="B35" s="22">
        <v>31</v>
      </c>
      <c r="C35" s="18">
        <v>338241895</v>
      </c>
      <c r="D35" s="18" t="s">
        <v>81</v>
      </c>
      <c r="E35" s="22">
        <v>131</v>
      </c>
      <c r="F35" s="23"/>
    </row>
    <row r="36" spans="2:6" ht="15" customHeight="1" x14ac:dyDescent="0.25">
      <c r="B36" s="22">
        <v>32</v>
      </c>
      <c r="C36" s="18">
        <v>666307205</v>
      </c>
      <c r="D36" s="18" t="s">
        <v>82</v>
      </c>
      <c r="E36" s="22">
        <v>137</v>
      </c>
      <c r="F36" s="23"/>
    </row>
    <row r="37" spans="2:6" ht="15" customHeight="1" x14ac:dyDescent="0.25">
      <c r="B37" s="22">
        <v>33</v>
      </c>
      <c r="C37" s="18">
        <v>773529912</v>
      </c>
      <c r="D37" s="18" t="s">
        <v>83</v>
      </c>
      <c r="E37" s="22">
        <v>139</v>
      </c>
      <c r="F37" s="23"/>
    </row>
    <row r="38" spans="2:6" ht="15" customHeight="1" x14ac:dyDescent="0.25">
      <c r="B38" s="22">
        <v>34</v>
      </c>
      <c r="C38" s="18">
        <v>1294757372</v>
      </c>
      <c r="D38" s="18" t="s">
        <v>84</v>
      </c>
      <c r="E38" s="22">
        <v>149</v>
      </c>
      <c r="F38" s="23"/>
    </row>
    <row r="39" spans="2:6" ht="15" customHeight="1" x14ac:dyDescent="0.25">
      <c r="B39" s="22">
        <v>35</v>
      </c>
      <c r="C39" s="18">
        <v>1396182291</v>
      </c>
      <c r="D39" s="18" t="s">
        <v>85</v>
      </c>
      <c r="E39" s="22">
        <v>151</v>
      </c>
      <c r="F39" s="23"/>
    </row>
    <row r="40" spans="2:6" ht="15" customHeight="1" x14ac:dyDescent="0.25">
      <c r="B40" s="22">
        <v>36</v>
      </c>
      <c r="C40" s="18">
        <v>1695183700</v>
      </c>
      <c r="D40" s="18" t="s">
        <v>86</v>
      </c>
      <c r="E40" s="22">
        <v>157</v>
      </c>
      <c r="F40" s="23"/>
    </row>
    <row r="41" spans="2:6" ht="15" customHeight="1" x14ac:dyDescent="0.25">
      <c r="B41" s="22">
        <v>37</v>
      </c>
      <c r="C41" s="18">
        <v>1986661051</v>
      </c>
      <c r="D41" s="18" t="s">
        <v>87</v>
      </c>
      <c r="E41" s="22">
        <v>163</v>
      </c>
      <c r="F41" s="23"/>
    </row>
    <row r="42" spans="2:6" ht="15" customHeight="1" x14ac:dyDescent="0.25">
      <c r="B42" s="22">
        <v>38</v>
      </c>
      <c r="C42" s="18">
        <v>2177026350</v>
      </c>
      <c r="D42" s="18" t="s">
        <v>88</v>
      </c>
      <c r="E42" s="22">
        <v>167</v>
      </c>
      <c r="F42" s="23"/>
    </row>
    <row r="43" spans="2:6" ht="15" customHeight="1" x14ac:dyDescent="0.25">
      <c r="B43" s="22">
        <v>39</v>
      </c>
      <c r="C43" s="18">
        <v>2456956037</v>
      </c>
      <c r="D43" s="18" t="s">
        <v>89</v>
      </c>
      <c r="E43" s="22">
        <v>173</v>
      </c>
      <c r="F43" s="23"/>
    </row>
    <row r="44" spans="2:6" ht="15" customHeight="1" x14ac:dyDescent="0.25">
      <c r="B44" s="22">
        <v>40</v>
      </c>
      <c r="C44" s="18">
        <v>2730485921</v>
      </c>
      <c r="D44" s="18" t="s">
        <v>90</v>
      </c>
      <c r="E44" s="22">
        <v>179</v>
      </c>
      <c r="F44" s="23"/>
    </row>
    <row r="45" spans="2:6" ht="15" customHeight="1" x14ac:dyDescent="0.25">
      <c r="B45" s="22">
        <v>41</v>
      </c>
      <c r="C45" s="18">
        <v>2820302411</v>
      </c>
      <c r="D45" s="18" t="s">
        <v>91</v>
      </c>
      <c r="E45" s="22">
        <v>181</v>
      </c>
      <c r="F45" s="23"/>
    </row>
    <row r="46" spans="2:6" ht="15" customHeight="1" x14ac:dyDescent="0.25">
      <c r="B46" s="22">
        <v>42</v>
      </c>
      <c r="C46" s="18">
        <v>3259730800</v>
      </c>
      <c r="D46" s="18" t="s">
        <v>92</v>
      </c>
      <c r="E46" s="22">
        <v>191</v>
      </c>
      <c r="F46" s="23"/>
    </row>
    <row r="47" spans="2:6" ht="15" customHeight="1" x14ac:dyDescent="0.25">
      <c r="B47" s="22">
        <v>43</v>
      </c>
      <c r="C47" s="18">
        <v>3345764771</v>
      </c>
      <c r="D47" s="18" t="s">
        <v>93</v>
      </c>
      <c r="E47" s="22">
        <v>193</v>
      </c>
      <c r="F47" s="23"/>
    </row>
    <row r="48" spans="2:6" ht="15" customHeight="1" x14ac:dyDescent="0.25">
      <c r="B48" s="22">
        <v>44</v>
      </c>
      <c r="C48" s="18">
        <v>3516065817</v>
      </c>
      <c r="D48" s="18" t="s">
        <v>94</v>
      </c>
      <c r="E48" s="22">
        <v>197</v>
      </c>
      <c r="F48" s="23"/>
    </row>
    <row r="49" spans="2:6" ht="15" customHeight="1" x14ac:dyDescent="0.25">
      <c r="B49" s="22">
        <v>45</v>
      </c>
      <c r="C49" s="18">
        <v>3600352804</v>
      </c>
      <c r="D49" s="18" t="s">
        <v>95</v>
      </c>
      <c r="E49" s="22">
        <v>199</v>
      </c>
      <c r="F49" s="23"/>
    </row>
    <row r="50" spans="2:6" ht="15" customHeight="1" x14ac:dyDescent="0.25">
      <c r="B50" s="22">
        <v>46</v>
      </c>
      <c r="C50" s="18">
        <v>4094571909</v>
      </c>
      <c r="D50" s="18" t="s">
        <v>96</v>
      </c>
      <c r="E50" s="22">
        <v>211</v>
      </c>
      <c r="F50" s="23"/>
    </row>
    <row r="51" spans="2:6" ht="15" customHeight="1" x14ac:dyDescent="0.25">
      <c r="B51" s="22">
        <v>47</v>
      </c>
      <c r="C51" s="18">
        <v>275423344</v>
      </c>
      <c r="D51" s="18" t="s">
        <v>97</v>
      </c>
      <c r="E51" s="22">
        <v>223</v>
      </c>
      <c r="F51" s="23"/>
    </row>
    <row r="52" spans="2:6" ht="15" customHeight="1" x14ac:dyDescent="0.25">
      <c r="B52" s="22">
        <v>48</v>
      </c>
      <c r="C52" s="18">
        <v>430227734</v>
      </c>
      <c r="D52" s="18" t="s">
        <v>98</v>
      </c>
      <c r="E52" s="22">
        <v>227</v>
      </c>
      <c r="F52" s="23"/>
    </row>
    <row r="53" spans="2:6" ht="15" customHeight="1" x14ac:dyDescent="0.25">
      <c r="B53" s="22">
        <v>49</v>
      </c>
      <c r="C53" s="18">
        <v>506948616</v>
      </c>
      <c r="D53" s="18" t="s">
        <v>99</v>
      </c>
      <c r="E53" s="22">
        <v>229</v>
      </c>
      <c r="F53" s="23"/>
    </row>
    <row r="54" spans="2:6" ht="15" customHeight="1" x14ac:dyDescent="0.25">
      <c r="B54" s="22">
        <v>50</v>
      </c>
      <c r="C54" s="18">
        <v>659060556</v>
      </c>
      <c r="D54" s="18" t="s">
        <v>100</v>
      </c>
      <c r="E54" s="22">
        <v>233</v>
      </c>
      <c r="F54" s="23"/>
    </row>
    <row r="55" spans="2:6" ht="15" customHeight="1" x14ac:dyDescent="0.25">
      <c r="B55" s="22">
        <v>51</v>
      </c>
      <c r="C55" s="18">
        <v>883997877</v>
      </c>
      <c r="D55" s="18" t="s">
        <v>101</v>
      </c>
      <c r="E55" s="22">
        <v>239</v>
      </c>
      <c r="F55" s="23"/>
    </row>
    <row r="56" spans="2:6" ht="15" customHeight="1" x14ac:dyDescent="0.25">
      <c r="B56" s="22">
        <v>52</v>
      </c>
      <c r="C56" s="18">
        <v>958139571</v>
      </c>
      <c r="D56" s="18" t="s">
        <v>102</v>
      </c>
      <c r="E56" s="22">
        <v>241</v>
      </c>
      <c r="F56" s="23"/>
    </row>
    <row r="57" spans="2:6" ht="15" customHeight="1" x14ac:dyDescent="0.25">
      <c r="B57" s="22">
        <v>53</v>
      </c>
      <c r="C57" s="18">
        <v>1322822218</v>
      </c>
      <c r="D57" s="18" t="s">
        <v>103</v>
      </c>
      <c r="E57" s="22">
        <v>251</v>
      </c>
      <c r="F57" s="23"/>
    </row>
    <row r="58" spans="2:6" ht="15" customHeight="1" x14ac:dyDescent="0.25">
      <c r="B58" s="22">
        <v>54</v>
      </c>
      <c r="C58" s="18">
        <v>1537002063</v>
      </c>
      <c r="D58" s="18" t="s">
        <v>104</v>
      </c>
      <c r="E58" s="22">
        <v>257</v>
      </c>
      <c r="F58" s="23"/>
    </row>
    <row r="59" spans="2:6" ht="15" customHeight="1" x14ac:dyDescent="0.25">
      <c r="B59" s="22">
        <v>55</v>
      </c>
      <c r="C59" s="18">
        <v>1747873779</v>
      </c>
      <c r="D59" s="18" t="s">
        <v>105</v>
      </c>
      <c r="E59" s="22">
        <v>263</v>
      </c>
      <c r="F59" s="23"/>
    </row>
    <row r="60" spans="2:6" ht="15" customHeight="1" x14ac:dyDescent="0.25">
      <c r="B60" s="22">
        <v>56</v>
      </c>
      <c r="C60" s="18">
        <v>1955562222</v>
      </c>
      <c r="D60" s="18" t="s">
        <v>106</v>
      </c>
      <c r="E60" s="22">
        <v>269</v>
      </c>
      <c r="F60" s="23"/>
    </row>
    <row r="61" spans="2:6" ht="15" customHeight="1" x14ac:dyDescent="0.25">
      <c r="B61" s="22">
        <v>57</v>
      </c>
      <c r="C61" s="18">
        <v>2024104815</v>
      </c>
      <c r="D61" s="18" t="s">
        <v>107</v>
      </c>
      <c r="E61" s="22">
        <v>271</v>
      </c>
      <c r="F61" s="23"/>
    </row>
    <row r="62" spans="2:6" ht="15" customHeight="1" x14ac:dyDescent="0.25">
      <c r="B62" s="22">
        <v>58</v>
      </c>
      <c r="C62" s="18">
        <v>2227730452</v>
      </c>
      <c r="D62" s="18" t="s">
        <v>108</v>
      </c>
      <c r="E62" s="22">
        <v>277</v>
      </c>
      <c r="F62" s="23"/>
    </row>
    <row r="63" spans="2:6" ht="15" customHeight="1" x14ac:dyDescent="0.25">
      <c r="B63" s="22">
        <v>59</v>
      </c>
      <c r="C63" s="18">
        <v>2361852424</v>
      </c>
      <c r="D63" s="18" t="s">
        <v>109</v>
      </c>
      <c r="E63" s="22">
        <v>281</v>
      </c>
      <c r="F63" s="23"/>
    </row>
    <row r="64" spans="2:6" ht="15" customHeight="1" x14ac:dyDescent="0.25">
      <c r="B64" s="22">
        <v>60</v>
      </c>
      <c r="C64" s="18">
        <v>2428436474</v>
      </c>
      <c r="D64" s="18" t="s">
        <v>110</v>
      </c>
      <c r="E64" s="22">
        <v>283</v>
      </c>
      <c r="F64" s="23"/>
    </row>
    <row r="65" spans="2:6" ht="15" customHeight="1" x14ac:dyDescent="0.25">
      <c r="B65" s="22">
        <v>61</v>
      </c>
      <c r="C65" s="18">
        <v>2756734187</v>
      </c>
      <c r="D65" s="18" t="s">
        <v>111</v>
      </c>
      <c r="E65" s="22">
        <v>293</v>
      </c>
      <c r="F65" s="23"/>
    </row>
    <row r="66" spans="2:6" ht="15" customHeight="1" x14ac:dyDescent="0.25">
      <c r="B66" s="22">
        <v>62</v>
      </c>
      <c r="C66" s="18">
        <v>3204031479</v>
      </c>
      <c r="D66" s="18" t="s">
        <v>112</v>
      </c>
      <c r="E66" s="22">
        <v>307</v>
      </c>
      <c r="F66" s="23"/>
    </row>
    <row r="67" spans="2:6" ht="15" customHeight="1" x14ac:dyDescent="0.25">
      <c r="B67" s="22">
        <v>63</v>
      </c>
      <c r="C67" s="18">
        <v>3329325298</v>
      </c>
      <c r="D67" s="18" t="s">
        <v>113</v>
      </c>
      <c r="E67" s="22">
        <v>311</v>
      </c>
      <c r="F67" s="23"/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" style="14" customWidth="1"/>
    <col min="2" max="2" width="7" style="14" customWidth="1"/>
    <col min="3" max="10" width="12" style="14" customWidth="1"/>
    <col min="11" max="12" width="5" style="14" customWidth="1"/>
    <col min="13" max="13" width="12" style="14" customWidth="1"/>
    <col min="14" max="17" width="5" style="14" customWidth="1"/>
    <col min="18" max="21" width="12" style="14" customWidth="1"/>
    <col min="22" max="22" width="5" style="14" customWidth="1"/>
    <col min="23" max="23" width="12" style="14" customWidth="1"/>
    <col min="24" max="24" width="5" style="14" customWidth="1"/>
    <col min="25" max="28" width="12" style="14" customWidth="1"/>
    <col min="29" max="29" width="5" style="14" customWidth="1"/>
    <col min="30" max="30" width="12" style="14" customWidth="1"/>
    <col min="31" max="31" width="5" style="14" customWidth="1"/>
    <col min="32" max="36" width="12" style="14" customWidth="1"/>
    <col min="37" max="37" width="20" style="14" customWidth="1"/>
    <col min="39" max="39" width="6" style="14" customWidth="1"/>
    <col min="40" max="44" width="14" style="14" customWidth="1"/>
    <col min="45" max="45" width="12" customWidth="1"/>
    <col min="46" max="46" width="5" customWidth="1"/>
    <col min="47" max="47" width="14" customWidth="1"/>
  </cols>
  <sheetData>
    <row r="1" spans="2:47" ht="27.75" customHeight="1" x14ac:dyDescent="0.25">
      <c r="B1" s="2" t="s">
        <v>114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M1" s="4" t="s">
        <v>115</v>
      </c>
      <c r="AN1" s="4"/>
      <c r="AO1" s="4"/>
      <c r="AP1" s="4"/>
      <c r="AQ1" s="4"/>
      <c r="AR1" s="4"/>
    </row>
    <row r="2" spans="2:47" ht="25.5" customHeight="1" x14ac:dyDescent="0.25">
      <c r="B2" s="9" t="s">
        <v>116</v>
      </c>
      <c r="C2" s="9"/>
      <c r="D2" s="9"/>
      <c r="E2" s="40" t="str">
        <f>LOWER(MID("0123456789abcdef",MOD(INT((MOD(INT(C70/256^3),256))/16),16)+1,1)&amp;MID("0123456789abcdef",MOD(MOD((MOD(INT(C70/256^3),256)),16),16)+1,1)&amp;MID("0123456789abcdef",MOD(INT((MOD(INT(C70/256^2),256))/16),16)+1,1)&amp;MID("0123456789abcdef",MOD(MOD((MOD(INT(C70/256^2),256)),16),16)+1,1)&amp;MID("0123456789abcdef",MOD(INT((MOD(INT(C70/256^1),256))/16),16)+1,1)&amp;MID("0123456789abcdef",MOD(MOD((MOD(INT(C70/256^1),256)),16),16)+1,1)&amp;MID("0123456789abcdef",MOD(INT((MOD(INT(C70/256^0),256))/16),16)+1,1)&amp;MID("0123456789abcdef",MOD(MOD((MOD(INT(C70/256^0),256)),16),16)+1,1)&amp;MID("0123456789abcdef",MOD(INT((MOD(INT(D70/256^3),256))/16),16)+1,1)&amp;MID("0123456789abcdef",MOD(MOD((MOD(INT(D70/256^3),256)),16),16)+1,1)&amp;MID("0123456789abcdef",MOD(INT((MOD(INT(D70/256^2),256))/16),16)+1,1)&amp;MID("0123456789abcdef",MOD(MOD((MOD(INT(D70/256^2),256)),16),16)+1,1)&amp;MID("0123456789abcdef",MOD(INT((MOD(INT(D70/256^1),256))/16),16)+1,1)&amp;MID("0123456789abcdef",MOD(MOD((MOD(INT(D70/256^1),256)),16),16)+1,1)&amp;MID("0123456789abcdef",MOD(INT((MOD(INT(D70/256^0),256))/16),16)+1,1)&amp;MID("0123456789abcdef",MOD(MOD((MOD(INT(D70/256^0),256)),16),16)+1,1)&amp;MID("0123456789abcdef",MOD(INT((MOD(INT(E70/256^3),256))/16),16)+1,1)&amp;MID("0123456789abcdef",MOD(MOD((MOD(INT(E70/256^3),256)),16),16)+1,1)&amp;MID("0123456789abcdef",MOD(INT((MOD(INT(E70/256^2),256))/16),16)+1,1)&amp;MID("0123456789abcdef",MOD(MOD((MOD(INT(E70/256^2),256)),16),16)+1,1)&amp;MID("0123456789abcdef",MOD(INT((MOD(INT(E70/256^1),256))/16),16)+1,1)&amp;MID("0123456789abcdef",MOD(MOD((MOD(INT(E70/256^1),256)),16),16)+1,1)&amp;MID("0123456789abcdef",MOD(INT((MOD(INT(E70/256^0),256))/16),16)+1,1)&amp;MID("0123456789abcdef",MOD(MOD((MOD(INT(E70/256^0),256)),16),16)+1,1)&amp;MID("0123456789abcdef",MOD(INT((MOD(INT(F70/256^3),256))/16),16)+1,1)&amp;MID("0123456789abcdef",MOD(MOD((MOD(INT(F70/256^3),256)),16),16)+1,1)&amp;MID("0123456789abcdef",MOD(INT((MOD(INT(F70/256^2),256))/16),16)+1,1)&amp;MID("0123456789abcdef",MOD(MOD((MOD(INT(F70/256^2),256)),16),16)+1,1)&amp;MID("0123456789abcdef",MOD(INT((MOD(INT(F70/256^1),256))/16),16)+1,1)&amp;MID("0123456789abcdef",MOD(MOD((MOD(INT(F70/256^1),256)),16),16)+1,1)&amp;MID("0123456789abcdef",MOD(INT((MOD(INT(F70/256^0),256))/16),16)+1,1)&amp;MID("0123456789abcdef",MOD(MOD((MOD(INT(F70/256^0),256)),16),16)+1,1)&amp;MID("0123456789abcdef",MOD(INT((MOD(INT(G70/256^3),256))/16),16)+1,1)&amp;MID("0123456789abcdef",MOD(MOD((MOD(INT(G70/256^3),256)),16),16)+1,1)&amp;MID("0123456789abcdef",MOD(INT((MOD(INT(G70/256^2),256))/16),16)+1,1)&amp;MID("0123456789abcdef",MOD(MOD((MOD(INT(G70/256^2),256)),16),16)+1,1)&amp;MID("0123456789abcdef",MOD(INT((MOD(INT(G70/256^1),256))/16),16)+1,1)&amp;MID("0123456789abcdef",MOD(MOD((MOD(INT(G70/256^1),256)),16),16)+1,1)&amp;MID("0123456789abcdef",MOD(INT((MOD(INT(G70/256^0),256))/16),16)+1,1)&amp;MID("0123456789abcdef",MOD(MOD((MOD(INT(G70/256^0),256)),16),16)+1,1)&amp;MID("0123456789abcdef",MOD(INT((MOD(INT(H70/256^3),256))/16),16)+1,1)&amp;MID("0123456789abcdef",MOD(MOD((MOD(INT(H70/256^3),256)),16),16)+1,1)&amp;MID("0123456789abcdef",MOD(INT((MOD(INT(H70/256^2),256))/16),16)+1,1)&amp;MID("0123456789abcdef",MOD(MOD((MOD(INT(H70/256^2),256)),16),16)+1,1)&amp;MID("0123456789abcdef",MOD(INT((MOD(INT(H70/256^1),256))/16),16)+1,1)&amp;MID("0123456789abcdef",MOD(MOD((MOD(INT(H70/256^1),256)),16),16)+1,1)&amp;MID("0123456789abcdef",MOD(INT((MOD(INT(H70/256^0),256))/16),16)+1,1)&amp;MID("0123456789abcdef",MOD(MOD((MOD(INT(H70/256^0),256)),16),16)+1,1)&amp;MID("0123456789abcdef",MOD(INT((MOD(INT(I70/256^3),256))/16),16)+1,1)&amp;MID("0123456789abcdef",MOD(MOD((MOD(INT(I70/256^3),256)),16),16)+1,1)&amp;MID("0123456789abcdef",MOD(INT((MOD(INT(I70/256^2),256))/16),16)+1,1)&amp;MID("0123456789abcdef",MOD(MOD((MOD(INT(I70/256^2),256)),16),16)+1,1)&amp;MID("0123456789abcdef",MOD(INT((MOD(INT(I70/256^1),256))/16),16)+1,1)&amp;MID("0123456789abcdef",MOD(MOD((MOD(INT(I70/256^1),256)),16),16)+1,1)&amp;MID("0123456789abcdef",MOD(INT((MOD(INT(I70/256^0),256))/16),16)+1,1)&amp;MID("0123456789abcdef",MOD(MOD((MOD(INT(I70/256^0),256)),16),16)+1,1)&amp;MID("0123456789abcdef",MOD(INT((MOD(INT(J70/256^3),256))/16),16)+1,1)&amp;MID("0123456789abcdef",MOD(MOD((MOD(INT(J70/256^3),256)),16),16)+1,1)&amp;MID("0123456789abcdef",MOD(INT((MOD(INT(J70/256^2),256))/16),16)+1,1)&amp;MID("0123456789abcdef",MOD(MOD((MOD(INT(J70/256^2),256)),16),16)+1,1)&amp;MID("0123456789abcdef",MOD(INT((MOD(INT(J70/256^1),256))/16),16)+1,1)&amp;MID("0123456789abcdef",MOD(MOD((MOD(INT(J70/256^1),256)),16),16)+1,1)&amp;MID("0123456789abcdef",MOD(INT((MOD(INT(J70/256^0),256))/16),16)+1,1)&amp;MID("0123456789abcdef",MOD(MOD((MOD(INT(J70/256^0),256)),16),16)+1,1))</f>
        <v>2cf24dba5fb0a30e26e83b2ac5b9e29e1b161e5c1fa7425e73043362938b9824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 spans="2:47" ht="31.5" customHeight="1" x14ac:dyDescent="0.25">
      <c r="B3" s="41" t="s">
        <v>117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2:47" ht="21.75" customHeight="1" x14ac:dyDescent="0.25">
      <c r="B4" s="24" t="s">
        <v>118</v>
      </c>
      <c r="C4" s="24" t="s">
        <v>119</v>
      </c>
      <c r="D4" s="24" t="s">
        <v>120</v>
      </c>
      <c r="E4" s="24" t="s">
        <v>121</v>
      </c>
      <c r="F4" s="24" t="s">
        <v>122</v>
      </c>
      <c r="G4" s="24" t="s">
        <v>123</v>
      </c>
      <c r="H4" s="24" t="s">
        <v>124</v>
      </c>
      <c r="I4" s="24" t="s">
        <v>125</v>
      </c>
      <c r="J4" s="24" t="s">
        <v>126</v>
      </c>
      <c r="K4" s="24" t="s">
        <v>127</v>
      </c>
      <c r="L4" s="24" t="s">
        <v>128</v>
      </c>
      <c r="M4" s="24" t="s">
        <v>129</v>
      </c>
      <c r="N4" s="24" t="s">
        <v>130</v>
      </c>
      <c r="O4" s="24" t="s">
        <v>131</v>
      </c>
      <c r="P4" s="24" t="s">
        <v>132</v>
      </c>
      <c r="Q4" s="24" t="s">
        <v>133</v>
      </c>
      <c r="R4" s="24" t="s">
        <v>134</v>
      </c>
      <c r="S4" s="24" t="s">
        <v>135</v>
      </c>
      <c r="T4" s="24" t="s">
        <v>136</v>
      </c>
      <c r="U4" s="24" t="s">
        <v>137</v>
      </c>
      <c r="V4" s="24" t="s">
        <v>138</v>
      </c>
      <c r="W4" s="24" t="s">
        <v>139</v>
      </c>
      <c r="X4" s="24" t="s">
        <v>140</v>
      </c>
      <c r="Y4" s="24" t="s">
        <v>141</v>
      </c>
      <c r="Z4" s="24" t="s">
        <v>142</v>
      </c>
      <c r="AA4" s="24" t="s">
        <v>143</v>
      </c>
      <c r="AB4" s="24" t="s">
        <v>144</v>
      </c>
      <c r="AC4" s="24" t="s">
        <v>145</v>
      </c>
      <c r="AD4" s="24" t="s">
        <v>146</v>
      </c>
      <c r="AE4" s="24" t="s">
        <v>147</v>
      </c>
      <c r="AF4" s="24" t="s">
        <v>148</v>
      </c>
      <c r="AG4" s="24" t="s">
        <v>149</v>
      </c>
      <c r="AH4" s="24" t="s">
        <v>150</v>
      </c>
      <c r="AI4" s="24" t="s">
        <v>151</v>
      </c>
      <c r="AJ4" s="24" t="s">
        <v>152</v>
      </c>
      <c r="AK4" s="24" t="s">
        <v>153</v>
      </c>
      <c r="AM4" s="24" t="s">
        <v>46</v>
      </c>
      <c r="AN4" s="24" t="s">
        <v>151</v>
      </c>
      <c r="AO4" s="24" t="s">
        <v>154</v>
      </c>
      <c r="AP4" s="24" t="s">
        <v>155</v>
      </c>
      <c r="AQ4" s="24" t="s">
        <v>156</v>
      </c>
      <c r="AR4" s="24" t="s">
        <v>157</v>
      </c>
      <c r="AS4" s="24" t="s">
        <v>158</v>
      </c>
      <c r="AT4" s="24" t="s">
        <v>159</v>
      </c>
      <c r="AU4" s="24" t="s">
        <v>160</v>
      </c>
    </row>
    <row r="5" spans="2:47" ht="15.75" customHeight="1" x14ac:dyDescent="0.25">
      <c r="B5" s="15" t="s">
        <v>161</v>
      </c>
      <c r="C5" s="22">
        <v>1779033703</v>
      </c>
      <c r="D5" s="22">
        <v>3144134277</v>
      </c>
      <c r="E5" s="22">
        <v>1013904242</v>
      </c>
      <c r="F5" s="22">
        <v>2773480762</v>
      </c>
      <c r="G5" s="22">
        <v>1359893119</v>
      </c>
      <c r="H5" s="22">
        <v>2600822924</v>
      </c>
      <c r="I5" s="22">
        <v>528734635</v>
      </c>
      <c r="J5" s="22">
        <v>1541459225</v>
      </c>
      <c r="K5" s="25" t="s">
        <v>162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M5" s="26">
        <v>0</v>
      </c>
      <c r="AN5" s="27">
        <f>(IF(LEN('🔐 SHA-256'!B5)&gt;0,CODE(MID('🔐 SHA-256'!B5,1,1)),IF(LEN('🔐 SHA-256'!B5)=0,128,0)))*16777216+(IF(LEN('🔐 SHA-256'!B5)&gt;1,CODE(MID('🔐 SHA-256'!B5,2,1)),IF(LEN('🔐 SHA-256'!B5)=1,128,0)))*65536+(IF(LEN('🔐 SHA-256'!B5)&gt;2,CODE(MID('🔐 SHA-256'!B5,3,1)),IF(LEN('🔐 SHA-256'!B5)=2,128,0)))*256+(IF(LEN('🔐 SHA-256'!B5)&gt;3,CODE(MID('🔐 SHA-256'!B5,4,1)),IF(LEN('🔐 SHA-256'!B5)=3,128,0)))</f>
        <v>1751477356</v>
      </c>
      <c r="AO5" s="28" t="s">
        <v>163</v>
      </c>
      <c r="AP5" s="28" t="s">
        <v>163</v>
      </c>
      <c r="AQ5" s="28" t="s">
        <v>163</v>
      </c>
      <c r="AR5" s="28" t="s">
        <v>163</v>
      </c>
      <c r="AS5" s="28" t="s">
        <v>163</v>
      </c>
      <c r="AT5" s="28" t="s">
        <v>163</v>
      </c>
      <c r="AU5" s="28" t="s">
        <v>163</v>
      </c>
    </row>
    <row r="6" spans="2:47" ht="13.5" customHeight="1" x14ac:dyDescent="0.25">
      <c r="B6" s="29">
        <v>1</v>
      </c>
      <c r="C6" s="27">
        <f t="shared" ref="C6:C37" si="0">MOD(AG6+AH6,4294967296)</f>
        <v>1684927673</v>
      </c>
      <c r="D6" s="27">
        <f t="shared" ref="D6:F25" si="1">C5</f>
        <v>1779033703</v>
      </c>
      <c r="E6" s="27">
        <f t="shared" si="1"/>
        <v>3144134277</v>
      </c>
      <c r="F6" s="27">
        <f t="shared" si="1"/>
        <v>1013904242</v>
      </c>
      <c r="G6" s="27">
        <f t="shared" ref="G6:G37" si="2">MOD(F5+AG6,4294967296)</f>
        <v>19746574</v>
      </c>
      <c r="H6" s="27">
        <f t="shared" ref="H6:J25" si="3">G5</f>
        <v>1359893119</v>
      </c>
      <c r="I6" s="27">
        <f t="shared" si="3"/>
        <v>2600822924</v>
      </c>
      <c r="J6" s="27">
        <f t="shared" si="3"/>
        <v>528734635</v>
      </c>
      <c r="K6" s="30">
        <f t="shared" ref="K6:K37" si="4">((MOD(INT(MOD(INT((G5)/1),256)/2^0),2)*MOD(INT(MOD(INT((H5)/1),256)/2^0),2)*1+MOD(INT(MOD(INT((G5)/1),256)/2^1),2)*MOD(INT(MOD(INT((H5)/1),256)/2^1),2)*2+MOD(INT(MOD(INT((G5)/1),256)/2^2),2)*MOD(INT(MOD(INT((H5)/1),256)/2^2),2)*4+MOD(INT(MOD(INT((G5)/1),256)/2^3),2)*MOD(INT(MOD(INT((H5)/1),256)/2^3),2)*8+MOD(INT(MOD(INT((G5)/1),256)/2^4),2)*MOD(INT(MOD(INT((H5)/1),256)/2^4),2)*16+MOD(INT(MOD(INT((G5)/1),256)/2^5),2)*MOD(INT(MOD(INT((H5)/1),256)/2^5),2)*32+MOD(INT(MOD(INT((G5)/1),256)/2^6),2)*MOD(INT(MOD(INT((H5)/1),256)/2^6),2)*64+MOD(INT(MOD(INT((G5)/1),256)/2^7),2)*MOD(INT(MOD(INT((H5)/1),256)/2^7),2)*128)*1+(MOD(INT(MOD(INT((G5)/256),256)/2^0),2)*MOD(INT(MOD(INT((H5)/256),256)/2^0),2)*1+MOD(INT(MOD(INT((G5)/256),256)/2^1),2)*MOD(INT(MOD(INT((H5)/256),256)/2^1),2)*2+MOD(INT(MOD(INT((G5)/256),256)/2^2),2)*MOD(INT(MOD(INT((H5)/256),256)/2^2),2)*4+MOD(INT(MOD(INT((G5)/256),256)/2^3),2)*MOD(INT(MOD(INT((H5)/256),256)/2^3),2)*8+MOD(INT(MOD(INT((G5)/256),256)/2^4),2)*MOD(INT(MOD(INT((H5)/256),256)/2^4),2)*16+MOD(INT(MOD(INT((G5)/256),256)/2^5),2)*MOD(INT(MOD(INT((H5)/256),256)/2^5),2)*32+MOD(INT(MOD(INT((G5)/256),256)/2^6),2)*MOD(INT(MOD(INT((H5)/256),256)/2^6),2)*64+MOD(INT(MOD(INT((G5)/256),256)/2^7),2)*MOD(INT(MOD(INT((H5)/256),256)/2^7),2)*128)*256+(MOD(INT(MOD(INT((G5)/65536),256)/2^0),2)*MOD(INT(MOD(INT((H5)/65536),256)/2^0),2)*1+MOD(INT(MOD(INT((G5)/65536),256)/2^1),2)*MOD(INT(MOD(INT((H5)/65536),256)/2^1),2)*2+MOD(INT(MOD(INT((G5)/65536),256)/2^2),2)*MOD(INT(MOD(INT((H5)/65536),256)/2^2),2)*4+MOD(INT(MOD(INT((G5)/65536),256)/2^3),2)*MOD(INT(MOD(INT((H5)/65536),256)/2^3),2)*8+MOD(INT(MOD(INT((G5)/65536),256)/2^4),2)*MOD(INT(MOD(INT((H5)/65536),256)/2^4),2)*16+MOD(INT(MOD(INT((G5)/65536),256)/2^5),2)*MOD(INT(MOD(INT((H5)/65536),256)/2^5),2)*32+MOD(INT(MOD(INT((G5)/65536),256)/2^6),2)*MOD(INT(MOD(INT((H5)/65536),256)/2^6),2)*64+MOD(INT(MOD(INT((G5)/65536),256)/2^7),2)*MOD(INT(MOD(INT((H5)/65536),256)/2^7),2)*128)*65536+(MOD(INT(MOD(INT((G5)/16777216),256)/2^0),2)*MOD(INT(MOD(INT((H5)/16777216),256)/2^0),2)*1+MOD(INT(MOD(INT((G5)/16777216),256)/2^1),2)*MOD(INT(MOD(INT((H5)/16777216),256)/2^1),2)*2+MOD(INT(MOD(INT((G5)/16777216),256)/2^2),2)*MOD(INT(MOD(INT((H5)/16777216),256)/2^2),2)*4+MOD(INT(MOD(INT((G5)/16777216),256)/2^3),2)*MOD(INT(MOD(INT((H5)/16777216),256)/2^3),2)*8+MOD(INT(MOD(INT((G5)/16777216),256)/2^4),2)*MOD(INT(MOD(INT((H5)/16777216),256)/2^4),2)*16+MOD(INT(MOD(INT((G5)/16777216),256)/2^5),2)*MOD(INT(MOD(INT((H5)/16777216),256)/2^5),2)*32+MOD(INT(MOD(INT((G5)/16777216),256)/2^6),2)*MOD(INT(MOD(INT((H5)/16777216),256)/2^6),2)*64+MOD(INT(MOD(INT((G5)/16777216),256)/2^7),2)*MOD(INT(MOD(INT((H5)/16777216),256)/2^7),2)*128)*16777216)</f>
        <v>285491212</v>
      </c>
      <c r="L6" s="30">
        <f t="shared" ref="L6:L37" si="5">((MOD(INT(MOD(INT(((4294967295-G5))/1),256)/2^0),2)*MOD(INT(MOD(INT((I5)/1),256)/2^0),2)*1+MOD(INT(MOD(INT(((4294967295-G5))/1),256)/2^1),2)*MOD(INT(MOD(INT((I5)/1),256)/2^1),2)*2+MOD(INT(MOD(INT(((4294967295-G5))/1),256)/2^2),2)*MOD(INT(MOD(INT((I5)/1),256)/2^2),2)*4+MOD(INT(MOD(INT(((4294967295-G5))/1),256)/2^3),2)*MOD(INT(MOD(INT((I5)/1),256)/2^3),2)*8+MOD(INT(MOD(INT(((4294967295-G5))/1),256)/2^4),2)*MOD(INT(MOD(INT((I5)/1),256)/2^4),2)*16+MOD(INT(MOD(INT(((4294967295-G5))/1),256)/2^5),2)*MOD(INT(MOD(INT((I5)/1),256)/2^5),2)*32+MOD(INT(MOD(INT(((4294967295-G5))/1),256)/2^6),2)*MOD(INT(MOD(INT((I5)/1),256)/2^6),2)*64+MOD(INT(MOD(INT(((4294967295-G5))/1),256)/2^7),2)*MOD(INT(MOD(INT((I5)/1),256)/2^7),2)*128)*1+(MOD(INT(MOD(INT(((4294967295-G5))/256),256)/2^0),2)*MOD(INT(MOD(INT((I5)/256),256)/2^0),2)*1+MOD(INT(MOD(INT(((4294967295-G5))/256),256)/2^1),2)*MOD(INT(MOD(INT((I5)/256),256)/2^1),2)*2+MOD(INT(MOD(INT(((4294967295-G5))/256),256)/2^2),2)*MOD(INT(MOD(INT((I5)/256),256)/2^2),2)*4+MOD(INT(MOD(INT(((4294967295-G5))/256),256)/2^3),2)*MOD(INT(MOD(INT((I5)/256),256)/2^3),2)*8+MOD(INT(MOD(INT(((4294967295-G5))/256),256)/2^4),2)*MOD(INT(MOD(INT((I5)/256),256)/2^4),2)*16+MOD(INT(MOD(INT(((4294967295-G5))/256),256)/2^5),2)*MOD(INT(MOD(INT((I5)/256),256)/2^5),2)*32+MOD(INT(MOD(INT(((4294967295-G5))/256),256)/2^6),2)*MOD(INT(MOD(INT((I5)/256),256)/2^6),2)*64+MOD(INT(MOD(INT(((4294967295-G5))/256),256)/2^7),2)*MOD(INT(MOD(INT((I5)/256),256)/2^7),2)*128)*256+(MOD(INT(MOD(INT(((4294967295-G5))/65536),256)/2^0),2)*MOD(INT(MOD(INT((I5)/65536),256)/2^0),2)*1+MOD(INT(MOD(INT(((4294967295-G5))/65536),256)/2^1),2)*MOD(INT(MOD(INT((I5)/65536),256)/2^1),2)*2+MOD(INT(MOD(INT(((4294967295-G5))/65536),256)/2^2),2)*MOD(INT(MOD(INT((I5)/65536),256)/2^2),2)*4+MOD(INT(MOD(INT(((4294967295-G5))/65536),256)/2^3),2)*MOD(INT(MOD(INT((I5)/65536),256)/2^3),2)*8+MOD(INT(MOD(INT(((4294967295-G5))/65536),256)/2^4),2)*MOD(INT(MOD(INT((I5)/65536),256)/2^4),2)*16+MOD(INT(MOD(INT(((4294967295-G5))/65536),256)/2^5),2)*MOD(INT(MOD(INT((I5)/65536),256)/2^5),2)*32+MOD(INT(MOD(INT(((4294967295-G5))/65536),256)/2^6),2)*MOD(INT(MOD(INT((I5)/65536),256)/2^6),2)*64+MOD(INT(MOD(INT(((4294967295-G5))/65536),256)/2^7),2)*MOD(INT(MOD(INT((I5)/65536),256)/2^7),2)*128)*65536+(MOD(INT(MOD(INT(((4294967295-G5))/16777216),256)/2^0),2)*MOD(INT(MOD(INT((I5)/16777216),256)/2^0),2)*1+MOD(INT(MOD(INT(((4294967295-G5))/16777216),256)/2^1),2)*MOD(INT(MOD(INT((I5)/16777216),256)/2^1),2)*2+MOD(INT(MOD(INT(((4294967295-G5))/16777216),256)/2^2),2)*MOD(INT(MOD(INT((I5)/16777216),256)/2^2),2)*4+MOD(INT(MOD(INT(((4294967295-G5))/16777216),256)/2^3),2)*MOD(INT(MOD(INT((I5)/16777216),256)/2^3),2)*8+MOD(INT(MOD(INT(((4294967295-G5))/16777216),256)/2^4),2)*MOD(INT(MOD(INT((I5)/16777216),256)/2^4),2)*16+MOD(INT(MOD(INT(((4294967295-G5))/16777216),256)/2^5),2)*MOD(INT(MOD(INT((I5)/16777216),256)/2^5),2)*32+MOD(INT(MOD(INT(((4294967295-G5))/16777216),256)/2^6),2)*MOD(INT(MOD(INT((I5)/16777216),256)/2^6),2)*64+MOD(INT(MOD(INT(((4294967295-G5))/16777216),256)/2^7),2)*MOD(INT(MOD(INT((I5)/16777216),256)/2^7),2)*128)*16777216)</f>
        <v>243370368</v>
      </c>
      <c r="M6" s="30">
        <f t="shared" ref="M6:M37" si="6">MOD(K6+L6,4294967296)</f>
        <v>528861580</v>
      </c>
      <c r="N6" s="30">
        <f t="shared" ref="N6:N37" si="7">((MOD(INT(MOD(INT((C5)/1),256)/2^0),2)*MOD(INT(MOD(INT((D5)/1),256)/2^0),2)*1+MOD(INT(MOD(INT((C5)/1),256)/2^1),2)*MOD(INT(MOD(INT((D5)/1),256)/2^1),2)*2+MOD(INT(MOD(INT((C5)/1),256)/2^2),2)*MOD(INT(MOD(INT((D5)/1),256)/2^2),2)*4+MOD(INT(MOD(INT((C5)/1),256)/2^3),2)*MOD(INT(MOD(INT((D5)/1),256)/2^3),2)*8+MOD(INT(MOD(INT((C5)/1),256)/2^4),2)*MOD(INT(MOD(INT((D5)/1),256)/2^4),2)*16+MOD(INT(MOD(INT((C5)/1),256)/2^5),2)*MOD(INT(MOD(INT((D5)/1),256)/2^5),2)*32+MOD(INT(MOD(INT((C5)/1),256)/2^6),2)*MOD(INT(MOD(INT((D5)/1),256)/2^6),2)*64+MOD(INT(MOD(INT((C5)/1),256)/2^7),2)*MOD(INT(MOD(INT((D5)/1),256)/2^7),2)*128)*1+(MOD(INT(MOD(INT((C5)/256),256)/2^0),2)*MOD(INT(MOD(INT((D5)/256),256)/2^0),2)*1+MOD(INT(MOD(INT((C5)/256),256)/2^1),2)*MOD(INT(MOD(INT((D5)/256),256)/2^1),2)*2+MOD(INT(MOD(INT((C5)/256),256)/2^2),2)*MOD(INT(MOD(INT((D5)/256),256)/2^2),2)*4+MOD(INT(MOD(INT((C5)/256),256)/2^3),2)*MOD(INT(MOD(INT((D5)/256),256)/2^3),2)*8+MOD(INT(MOD(INT((C5)/256),256)/2^4),2)*MOD(INT(MOD(INT((D5)/256),256)/2^4),2)*16+MOD(INT(MOD(INT((C5)/256),256)/2^5),2)*MOD(INT(MOD(INT((D5)/256),256)/2^5),2)*32+MOD(INT(MOD(INT((C5)/256),256)/2^6),2)*MOD(INT(MOD(INT((D5)/256),256)/2^6),2)*64+MOD(INT(MOD(INT((C5)/256),256)/2^7),2)*MOD(INT(MOD(INT((D5)/256),256)/2^7),2)*128)*256+(MOD(INT(MOD(INT((C5)/65536),256)/2^0),2)*MOD(INT(MOD(INT((D5)/65536),256)/2^0),2)*1+MOD(INT(MOD(INT((C5)/65536),256)/2^1),2)*MOD(INT(MOD(INT((D5)/65536),256)/2^1),2)*2+MOD(INT(MOD(INT((C5)/65536),256)/2^2),2)*MOD(INT(MOD(INT((D5)/65536),256)/2^2),2)*4+MOD(INT(MOD(INT((C5)/65536),256)/2^3),2)*MOD(INT(MOD(INT((D5)/65536),256)/2^3),2)*8+MOD(INT(MOD(INT((C5)/65536),256)/2^4),2)*MOD(INT(MOD(INT((D5)/65536),256)/2^4),2)*16+MOD(INT(MOD(INT((C5)/65536),256)/2^5),2)*MOD(INT(MOD(INT((D5)/65536),256)/2^5),2)*32+MOD(INT(MOD(INT((C5)/65536),256)/2^6),2)*MOD(INT(MOD(INT((D5)/65536),256)/2^6),2)*64+MOD(INT(MOD(INT((C5)/65536),256)/2^7),2)*MOD(INT(MOD(INT((D5)/65536),256)/2^7),2)*128)*65536+(MOD(INT(MOD(INT((C5)/16777216),256)/2^0),2)*MOD(INT(MOD(INT((D5)/16777216),256)/2^0),2)*1+MOD(INT(MOD(INT((C5)/16777216),256)/2^1),2)*MOD(INT(MOD(INT((D5)/16777216),256)/2^1),2)*2+MOD(INT(MOD(INT((C5)/16777216),256)/2^2),2)*MOD(INT(MOD(INT((D5)/16777216),256)/2^2),2)*4+MOD(INT(MOD(INT((C5)/16777216),256)/2^3),2)*MOD(INT(MOD(INT((D5)/16777216),256)/2^3),2)*8+MOD(INT(MOD(INT((C5)/16777216),256)/2^4),2)*MOD(INT(MOD(INT((D5)/16777216),256)/2^4),2)*16+MOD(INT(MOD(INT((C5)/16777216),256)/2^5),2)*MOD(INT(MOD(INT((D5)/16777216),256)/2^5),2)*32+MOD(INT(MOD(INT((C5)/16777216),256)/2^6),2)*MOD(INT(MOD(INT((D5)/16777216),256)/2^6),2)*64+MOD(INT(MOD(INT((C5)/16777216),256)/2^7),2)*MOD(INT(MOD(INT((D5)/16777216),256)/2^7),2)*128)*16777216)</f>
        <v>704751109</v>
      </c>
      <c r="O6" s="30">
        <f t="shared" ref="O6:O37" si="8">((MOD(INT(MOD(INT((C5)/1),256)/2^0),2)*MOD(INT(MOD(INT((E5)/1),256)/2^0),2)*1+MOD(INT(MOD(INT((C5)/1),256)/2^1),2)*MOD(INT(MOD(INT((E5)/1),256)/2^1),2)*2+MOD(INT(MOD(INT((C5)/1),256)/2^2),2)*MOD(INT(MOD(INT((E5)/1),256)/2^2),2)*4+MOD(INT(MOD(INT((C5)/1),256)/2^3),2)*MOD(INT(MOD(INT((E5)/1),256)/2^3),2)*8+MOD(INT(MOD(INT((C5)/1),256)/2^4),2)*MOD(INT(MOD(INT((E5)/1),256)/2^4),2)*16+MOD(INT(MOD(INT((C5)/1),256)/2^5),2)*MOD(INT(MOD(INT((E5)/1),256)/2^5),2)*32+MOD(INT(MOD(INT((C5)/1),256)/2^6),2)*MOD(INT(MOD(INT((E5)/1),256)/2^6),2)*64+MOD(INT(MOD(INT((C5)/1),256)/2^7),2)*MOD(INT(MOD(INT((E5)/1),256)/2^7),2)*128)*1+(MOD(INT(MOD(INT((C5)/256),256)/2^0),2)*MOD(INT(MOD(INT((E5)/256),256)/2^0),2)*1+MOD(INT(MOD(INT((C5)/256),256)/2^1),2)*MOD(INT(MOD(INT((E5)/256),256)/2^1),2)*2+MOD(INT(MOD(INT((C5)/256),256)/2^2),2)*MOD(INT(MOD(INT((E5)/256),256)/2^2),2)*4+MOD(INT(MOD(INT((C5)/256),256)/2^3),2)*MOD(INT(MOD(INT((E5)/256),256)/2^3),2)*8+MOD(INT(MOD(INT((C5)/256),256)/2^4),2)*MOD(INT(MOD(INT((E5)/256),256)/2^4),2)*16+MOD(INT(MOD(INT((C5)/256),256)/2^5),2)*MOD(INT(MOD(INT((E5)/256),256)/2^5),2)*32+MOD(INT(MOD(INT((C5)/256),256)/2^6),2)*MOD(INT(MOD(INT((E5)/256),256)/2^6),2)*64+MOD(INT(MOD(INT((C5)/256),256)/2^7),2)*MOD(INT(MOD(INT((E5)/256),256)/2^7),2)*128)*256+(MOD(INT(MOD(INT((C5)/65536),256)/2^0),2)*MOD(INT(MOD(INT((E5)/65536),256)/2^0),2)*1+MOD(INT(MOD(INT((C5)/65536),256)/2^1),2)*MOD(INT(MOD(INT((E5)/65536),256)/2^1),2)*2+MOD(INT(MOD(INT((C5)/65536),256)/2^2),2)*MOD(INT(MOD(INT((E5)/65536),256)/2^2),2)*4+MOD(INT(MOD(INT((C5)/65536),256)/2^3),2)*MOD(INT(MOD(INT((E5)/65536),256)/2^3),2)*8+MOD(INT(MOD(INT((C5)/65536),256)/2^4),2)*MOD(INT(MOD(INT((E5)/65536),256)/2^4),2)*16+MOD(INT(MOD(INT((C5)/65536),256)/2^5),2)*MOD(INT(MOD(INT((E5)/65536),256)/2^5),2)*32+MOD(INT(MOD(INT((C5)/65536),256)/2^6),2)*MOD(INT(MOD(INT((E5)/65536),256)/2^6),2)*64+MOD(INT(MOD(INT((C5)/65536),256)/2^7),2)*MOD(INT(MOD(INT((E5)/65536),256)/2^7),2)*128)*65536+(MOD(INT(MOD(INT((C5)/16777216),256)/2^0),2)*MOD(INT(MOD(INT((E5)/16777216),256)/2^0),2)*1+MOD(INT(MOD(INT((C5)/16777216),256)/2^1),2)*MOD(INT(MOD(INT((E5)/16777216),256)/2^1),2)*2+MOD(INT(MOD(INT((C5)/16777216),256)/2^2),2)*MOD(INT(MOD(INT((E5)/16777216),256)/2^2),2)*4+MOD(INT(MOD(INT((C5)/16777216),256)/2^3),2)*MOD(INT(MOD(INT((E5)/16777216),256)/2^3),2)*8+MOD(INT(MOD(INT((C5)/16777216),256)/2^4),2)*MOD(INT(MOD(INT((E5)/16777216),256)/2^4),2)*16+MOD(INT(MOD(INT((C5)/16777216),256)/2^5),2)*MOD(INT(MOD(INT((E5)/16777216),256)/2^5),2)*32+MOD(INT(MOD(INT((C5)/16777216),256)/2^6),2)*MOD(INT(MOD(INT((E5)/16777216),256)/2^6),2)*64+MOD(INT(MOD(INT((C5)/16777216),256)/2^7),2)*MOD(INT(MOD(INT((E5)/16777216),256)/2^7),2)*128)*16777216)</f>
        <v>671670882</v>
      </c>
      <c r="P6" s="30">
        <f t="shared" ref="P6:P37" si="9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946250240</v>
      </c>
      <c r="Q6" s="30">
        <f t="shared" ref="Q6:Q37" si="10">((MOD(INT(MOD(INT((N6)/1),256)/2^0),2)*MOD(INT(MOD(INT((P6)/1),256)/2^0),2)*1+MOD(INT(MOD(INT((N6)/1),256)/2^1),2)*MOD(INT(MOD(INT((P6)/1),256)/2^1),2)*2+MOD(INT(MOD(INT((N6)/1),256)/2^2),2)*MOD(INT(MOD(INT((P6)/1),256)/2^2),2)*4+MOD(INT(MOD(INT((N6)/1),256)/2^3),2)*MOD(INT(MOD(INT((P6)/1),256)/2^3),2)*8+MOD(INT(MOD(INT((N6)/1),256)/2^4),2)*MOD(INT(MOD(INT((P6)/1),256)/2^4),2)*16+MOD(INT(MOD(INT((N6)/1),256)/2^5),2)*MOD(INT(MOD(INT((P6)/1),256)/2^5),2)*32+MOD(INT(MOD(INT((N6)/1),256)/2^6),2)*MOD(INT(MOD(INT((P6)/1),256)/2^6),2)*64+MOD(INT(MOD(INT((N6)/1),256)/2^7),2)*MOD(INT(MOD(INT((P6)/1),256)/2^7),2)*128)*1+(MOD(INT(MOD(INT((N6)/256),256)/2^0),2)*MOD(INT(MOD(INT((P6)/256),256)/2^0),2)*1+MOD(INT(MOD(INT((N6)/256),256)/2^1),2)*MOD(INT(MOD(INT((P6)/256),256)/2^1),2)*2+MOD(INT(MOD(INT((N6)/256),256)/2^2),2)*MOD(INT(MOD(INT((P6)/256),256)/2^2),2)*4+MOD(INT(MOD(INT((N6)/256),256)/2^3),2)*MOD(INT(MOD(INT((P6)/256),256)/2^3),2)*8+MOD(INT(MOD(INT((N6)/256),256)/2^4),2)*MOD(INT(MOD(INT((P6)/256),256)/2^4),2)*16+MOD(INT(MOD(INT((N6)/256),256)/2^5),2)*MOD(INT(MOD(INT((P6)/256),256)/2^5),2)*32+MOD(INT(MOD(INT((N6)/256),256)/2^6),2)*MOD(INT(MOD(INT((P6)/256),256)/2^6),2)*64+MOD(INT(MOD(INT((N6)/256),256)/2^7),2)*MOD(INT(MOD(INT((P6)/256),256)/2^7),2)*128)*256+(MOD(INT(MOD(INT((N6)/65536),256)/2^0),2)*MOD(INT(MOD(INT((P6)/65536),256)/2^0),2)*1+MOD(INT(MOD(INT((N6)/65536),256)/2^1),2)*MOD(INT(MOD(INT((P6)/65536),256)/2^1),2)*2+MOD(INT(MOD(INT((N6)/65536),256)/2^2),2)*MOD(INT(MOD(INT((P6)/65536),256)/2^2),2)*4+MOD(INT(MOD(INT((N6)/65536),256)/2^3),2)*MOD(INT(MOD(INT((P6)/65536),256)/2^3),2)*8+MOD(INT(MOD(INT((N6)/65536),256)/2^4),2)*MOD(INT(MOD(INT((P6)/65536),256)/2^4),2)*16+MOD(INT(MOD(INT((N6)/65536),256)/2^5),2)*MOD(INT(MOD(INT((P6)/65536),256)/2^5),2)*32+MOD(INT(MOD(INT((N6)/65536),256)/2^6),2)*MOD(INT(MOD(INT((P6)/65536),256)/2^6),2)*64+MOD(INT(MOD(INT((N6)/65536),256)/2^7),2)*MOD(INT(MOD(INT((P6)/65536),256)/2^7),2)*128)*65536+(MOD(INT(MOD(INT((N6)/16777216),256)/2^0),2)*MOD(INT(MOD(INT((P6)/16777216),256)/2^0),2)*1+MOD(INT(MOD(INT((N6)/16777216),256)/2^1),2)*MOD(INT(MOD(INT((P6)/16777216),256)/2^1),2)*2+MOD(INT(MOD(INT((N6)/16777216),256)/2^2),2)*MOD(INT(MOD(INT((P6)/16777216),256)/2^2),2)*4+MOD(INT(MOD(INT((N6)/16777216),256)/2^3),2)*MOD(INT(MOD(INT((P6)/16777216),256)/2^3),2)*8+MOD(INT(MOD(INT((N6)/16777216),256)/2^4),2)*MOD(INT(MOD(INT((P6)/16777216),256)/2^4),2)*16+MOD(INT(MOD(INT((N6)/16777216),256)/2^5),2)*MOD(INT(MOD(INT((P6)/16777216),256)/2^5),2)*32+MOD(INT(MOD(INT((N6)/16777216),256)/2^6),2)*MOD(INT(MOD(INT((P6)/16777216),256)/2^6),2)*64+MOD(INT(MOD(INT((N6)/16777216),256)/2^7),2)*MOD(INT(MOD(INT((P6)/16777216),256)/2^7),2)*128)*16777216)</f>
        <v>671130112</v>
      </c>
      <c r="R6" s="30">
        <f t="shared" ref="R6:R37" si="11">MOD(N6+O6+P6-2*Q6,4294967296)</f>
        <v>980412007</v>
      </c>
      <c r="S6" s="30">
        <f t="shared" ref="S6:S37" si="12">MOD(MOD(G5,2^6)*2^26+INT(G5/2^6),4294967296)</f>
        <v>4249106761</v>
      </c>
      <c r="T6" s="30">
        <f t="shared" ref="T6:T37" si="13">MOD(MOD(G5,2^11)*2^21+INT(G5/2^11),4294967296)</f>
        <v>1340744138</v>
      </c>
      <c r="U6" s="30">
        <f t="shared" ref="U6:U37" si="14">MOD(MOD(G5,2^25)*2^7+INT(G5/2^25),4294967296)</f>
        <v>2267627432</v>
      </c>
      <c r="V6" s="30">
        <f t="shared" ref="V6:V37" si="15">((MOD(INT(MOD(INT((S6)/1),256)/2^0),2)*MOD(INT(MOD(INT((T6)/1),256)/2^0),2)*1+MOD(INT(MOD(INT((S6)/1),256)/2^1),2)*MOD(INT(MOD(INT((T6)/1),256)/2^1),2)*2+MOD(INT(MOD(INT((S6)/1),256)/2^2),2)*MOD(INT(MOD(INT((T6)/1),256)/2^2),2)*4+MOD(INT(MOD(INT((S6)/1),256)/2^3),2)*MOD(INT(MOD(INT((T6)/1),256)/2^3),2)*8+MOD(INT(MOD(INT((S6)/1),256)/2^4),2)*MOD(INT(MOD(INT((T6)/1),256)/2^4),2)*16+MOD(INT(MOD(INT((S6)/1),256)/2^5),2)*MOD(INT(MOD(INT((T6)/1),256)/2^5),2)*32+MOD(INT(MOD(INT((S6)/1),256)/2^6),2)*MOD(INT(MOD(INT((T6)/1),256)/2^6),2)*64+MOD(INT(MOD(INT((S6)/1),256)/2^7),2)*MOD(INT(MOD(INT((T6)/1),256)/2^7),2)*128)*1+(MOD(INT(MOD(INT((S6)/256),256)/2^0),2)*MOD(INT(MOD(INT((T6)/256),256)/2^0),2)*1+MOD(INT(MOD(INT((S6)/256),256)/2^1),2)*MOD(INT(MOD(INT((T6)/256),256)/2^1),2)*2+MOD(INT(MOD(INT((S6)/256),256)/2^2),2)*MOD(INT(MOD(INT((T6)/256),256)/2^2),2)*4+MOD(INT(MOD(INT((S6)/256),256)/2^3),2)*MOD(INT(MOD(INT((T6)/256),256)/2^3),2)*8+MOD(INT(MOD(INT((S6)/256),256)/2^4),2)*MOD(INT(MOD(INT((T6)/256),256)/2^4),2)*16+MOD(INT(MOD(INT((S6)/256),256)/2^5),2)*MOD(INT(MOD(INT((T6)/256),256)/2^5),2)*32+MOD(INT(MOD(INT((S6)/256),256)/2^6),2)*MOD(INT(MOD(INT((T6)/256),256)/2^6),2)*64+MOD(INT(MOD(INT((S6)/256),256)/2^7),2)*MOD(INT(MOD(INT((T6)/256),256)/2^7),2)*128)*256+(MOD(INT(MOD(INT((S6)/65536),256)/2^0),2)*MOD(INT(MOD(INT((T6)/65536),256)/2^0),2)*1+MOD(INT(MOD(INT((S6)/65536),256)/2^1),2)*MOD(INT(MOD(INT((T6)/65536),256)/2^1),2)*2+MOD(INT(MOD(INT((S6)/65536),256)/2^2),2)*MOD(INT(MOD(INT((T6)/65536),256)/2^2),2)*4+MOD(INT(MOD(INT((S6)/65536),256)/2^3),2)*MOD(INT(MOD(INT((T6)/65536),256)/2^3),2)*8+MOD(INT(MOD(INT((S6)/65536),256)/2^4),2)*MOD(INT(MOD(INT((T6)/65536),256)/2^4),2)*16+MOD(INT(MOD(INT((S6)/65536),256)/2^5),2)*MOD(INT(MOD(INT((T6)/65536),256)/2^5),2)*32+MOD(INT(MOD(INT((S6)/65536),256)/2^6),2)*MOD(INT(MOD(INT((T6)/65536),256)/2^6),2)*64+MOD(INT(MOD(INT((S6)/65536),256)/2^7),2)*MOD(INT(MOD(INT((T6)/65536),256)/2^7),2)*128)*65536+(MOD(INT(MOD(INT((S6)/16777216),256)/2^0),2)*MOD(INT(MOD(INT((T6)/16777216),256)/2^0),2)*1+MOD(INT(MOD(INT((S6)/16777216),256)/2^1),2)*MOD(INT(MOD(INT((T6)/16777216),256)/2^1),2)*2+MOD(INT(MOD(INT((S6)/16777216),256)/2^2),2)*MOD(INT(MOD(INT((T6)/16777216),256)/2^2),2)*4+MOD(INT(MOD(INT((S6)/16777216),256)/2^3),2)*MOD(INT(MOD(INT((T6)/16777216),256)/2^3),2)*8+MOD(INT(MOD(INT((S6)/16777216),256)/2^4),2)*MOD(INT(MOD(INT((T6)/16777216),256)/2^4),2)*16+MOD(INT(MOD(INT((S6)/16777216),256)/2^5),2)*MOD(INT(MOD(INT((T6)/16777216),256)/2^5),2)*32+MOD(INT(MOD(INT((S6)/16777216),256)/2^6),2)*MOD(INT(MOD(INT((T6)/16777216),256)/2^6),2)*64+MOD(INT(MOD(INT((S6)/16777216),256)/2^7),2)*MOD(INT(MOD(INT((T6)/16777216),256)/2^7),2)*128)*16777216)</f>
        <v>1296048456</v>
      </c>
      <c r="W6" s="30">
        <f t="shared" ref="W6:W37" si="16">MOD(S6+T6-2*V6,4294967296)</f>
        <v>2997753987</v>
      </c>
      <c r="X6" s="30">
        <f t="shared" ref="X6:X37" si="17">((MOD(INT(MOD(INT((W6)/1),256)/2^0),2)*MOD(INT(MOD(INT((U6)/1),256)/2^0),2)*1+MOD(INT(MOD(INT((W6)/1),256)/2^1),2)*MOD(INT(MOD(INT((U6)/1),256)/2^1),2)*2+MOD(INT(MOD(INT((W6)/1),256)/2^2),2)*MOD(INT(MOD(INT((U6)/1),256)/2^2),2)*4+MOD(INT(MOD(INT((W6)/1),256)/2^3),2)*MOD(INT(MOD(INT((U6)/1),256)/2^3),2)*8+MOD(INT(MOD(INT((W6)/1),256)/2^4),2)*MOD(INT(MOD(INT((U6)/1),256)/2^4),2)*16+MOD(INT(MOD(INT((W6)/1),256)/2^5),2)*MOD(INT(MOD(INT((U6)/1),256)/2^5),2)*32+MOD(INT(MOD(INT((W6)/1),256)/2^6),2)*MOD(INT(MOD(INT((U6)/1),256)/2^6),2)*64+MOD(INT(MOD(INT((W6)/1),256)/2^7),2)*MOD(INT(MOD(INT((U6)/1),256)/2^7),2)*128)*1+(MOD(INT(MOD(INT((W6)/256),256)/2^0),2)*MOD(INT(MOD(INT((U6)/256),256)/2^0),2)*1+MOD(INT(MOD(INT((W6)/256),256)/2^1),2)*MOD(INT(MOD(INT((U6)/256),256)/2^1),2)*2+MOD(INT(MOD(INT((W6)/256),256)/2^2),2)*MOD(INT(MOD(INT((U6)/256),256)/2^2),2)*4+MOD(INT(MOD(INT((W6)/256),256)/2^3),2)*MOD(INT(MOD(INT((U6)/256),256)/2^3),2)*8+MOD(INT(MOD(INT((W6)/256),256)/2^4),2)*MOD(INT(MOD(INT((U6)/256),256)/2^4),2)*16+MOD(INT(MOD(INT((W6)/256),256)/2^5),2)*MOD(INT(MOD(INT((U6)/256),256)/2^5),2)*32+MOD(INT(MOD(INT((W6)/256),256)/2^6),2)*MOD(INT(MOD(INT((U6)/256),256)/2^6),2)*64+MOD(INT(MOD(INT((W6)/256),256)/2^7),2)*MOD(INT(MOD(INT((U6)/256),256)/2^7),2)*128)*256+(MOD(INT(MOD(INT((W6)/65536),256)/2^0),2)*MOD(INT(MOD(INT((U6)/65536),256)/2^0),2)*1+MOD(INT(MOD(INT((W6)/65536),256)/2^1),2)*MOD(INT(MOD(INT((U6)/65536),256)/2^1),2)*2+MOD(INT(MOD(INT((W6)/65536),256)/2^2),2)*MOD(INT(MOD(INT((U6)/65536),256)/2^2),2)*4+MOD(INT(MOD(INT((W6)/65536),256)/2^3),2)*MOD(INT(MOD(INT((U6)/65536),256)/2^3),2)*8+MOD(INT(MOD(INT((W6)/65536),256)/2^4),2)*MOD(INT(MOD(INT((U6)/65536),256)/2^4),2)*16+MOD(INT(MOD(INT((W6)/65536),256)/2^5),2)*MOD(INT(MOD(INT((U6)/65536),256)/2^5),2)*32+MOD(INT(MOD(INT((W6)/65536),256)/2^6),2)*MOD(INT(MOD(INT((U6)/65536),256)/2^6),2)*64+MOD(INT(MOD(INT((W6)/65536),256)/2^7),2)*MOD(INT(MOD(INT((U6)/65536),256)/2^7),2)*128)*65536+(MOD(INT(MOD(INT((W6)/16777216),256)/2^0),2)*MOD(INT(MOD(INT((U6)/16777216),256)/2^0),2)*1+MOD(INT(MOD(INT((W6)/16777216),256)/2^1),2)*MOD(INT(MOD(INT((U6)/16777216),256)/2^1),2)*2+MOD(INT(MOD(INT((W6)/16777216),256)/2^2),2)*MOD(INT(MOD(INT((U6)/16777216),256)/2^2),2)*4+MOD(INT(MOD(INT((W6)/16777216),256)/2^3),2)*MOD(INT(MOD(INT((U6)/16777216),256)/2^3),2)*8+MOD(INT(MOD(INT((W6)/16777216),256)/2^4),2)*MOD(INT(MOD(INT((U6)/16777216),256)/2^4),2)*16+MOD(INT(MOD(INT((W6)/16777216),256)/2^5),2)*MOD(INT(MOD(INT((U6)/16777216),256)/2^5),2)*32+MOD(INT(MOD(INT((W6)/16777216),256)/2^6),2)*MOD(INT(MOD(INT((U6)/16777216),256)/2^6),2)*64+MOD(INT(MOD(INT((W6)/16777216),256)/2^7),2)*MOD(INT(MOD(INT((U6)/16777216),256)/2^7),2)*128)*16777216)</f>
        <v>2183665792</v>
      </c>
      <c r="Y6" s="30">
        <f t="shared" ref="Y6:Y37" si="18">MOD(W6+U6-2*X6,4294967296)</f>
        <v>898049835</v>
      </c>
      <c r="Z6" s="30">
        <f t="shared" ref="Z6:Z37" si="19">MOD(MOD(C5,2^2)*2^30+INT(C5/2^2),4294967296)</f>
        <v>3665983897</v>
      </c>
      <c r="AA6" s="30">
        <f t="shared" ref="AA6:AA37" si="20">MOD(MOD(C5,2^13)*2^19+INT(C5/2^13),4294967296)</f>
        <v>859525199</v>
      </c>
      <c r="AB6" s="30">
        <f t="shared" ref="AB6:AB37" si="21">MOD(MOD(C5,2^22)*2^10+INT(C5/2^22),4294967296)</f>
        <v>664378792</v>
      </c>
      <c r="AC6" s="30">
        <f t="shared" ref="AC6:AC37" si="22">((MOD(INT(MOD(INT((Z6)/1),256)/2^0),2)*MOD(INT(MOD(INT((AA6)/1),256)/2^0),2)*1+MOD(INT(MOD(INT((Z6)/1),256)/2^1),2)*MOD(INT(MOD(INT((AA6)/1),256)/2^1),2)*2+MOD(INT(MOD(INT((Z6)/1),256)/2^2),2)*MOD(INT(MOD(INT((AA6)/1),256)/2^2),2)*4+MOD(INT(MOD(INT((Z6)/1),256)/2^3),2)*MOD(INT(MOD(INT((AA6)/1),256)/2^3),2)*8+MOD(INT(MOD(INT((Z6)/1),256)/2^4),2)*MOD(INT(MOD(INT((AA6)/1),256)/2^4),2)*16+MOD(INT(MOD(INT((Z6)/1),256)/2^5),2)*MOD(INT(MOD(INT((AA6)/1),256)/2^5),2)*32+MOD(INT(MOD(INT((Z6)/1),256)/2^6),2)*MOD(INT(MOD(INT((AA6)/1),256)/2^6),2)*64+MOD(INT(MOD(INT((Z6)/1),256)/2^7),2)*MOD(INT(MOD(INT((AA6)/1),256)/2^7),2)*128)*1+(MOD(INT(MOD(INT((Z6)/256),256)/2^0),2)*MOD(INT(MOD(INT((AA6)/256),256)/2^0),2)*1+MOD(INT(MOD(INT((Z6)/256),256)/2^1),2)*MOD(INT(MOD(INT((AA6)/256),256)/2^1),2)*2+MOD(INT(MOD(INT((Z6)/256),256)/2^2),2)*MOD(INT(MOD(INT((AA6)/256),256)/2^2),2)*4+MOD(INT(MOD(INT((Z6)/256),256)/2^3),2)*MOD(INT(MOD(INT((AA6)/256),256)/2^3),2)*8+MOD(INT(MOD(INT((Z6)/256),256)/2^4),2)*MOD(INT(MOD(INT((AA6)/256),256)/2^4),2)*16+MOD(INT(MOD(INT((Z6)/256),256)/2^5),2)*MOD(INT(MOD(INT((AA6)/256),256)/2^5),2)*32+MOD(INT(MOD(INT((Z6)/256),256)/2^6),2)*MOD(INT(MOD(INT((AA6)/256),256)/2^6),2)*64+MOD(INT(MOD(INT((Z6)/256),256)/2^7),2)*MOD(INT(MOD(INT((AA6)/256),256)/2^7),2)*128)*256+(MOD(INT(MOD(INT((Z6)/65536),256)/2^0),2)*MOD(INT(MOD(INT((AA6)/65536),256)/2^0),2)*1+MOD(INT(MOD(INT((Z6)/65536),256)/2^1),2)*MOD(INT(MOD(INT((AA6)/65536),256)/2^1),2)*2+MOD(INT(MOD(INT((Z6)/65536),256)/2^2),2)*MOD(INT(MOD(INT((AA6)/65536),256)/2^2),2)*4+MOD(INT(MOD(INT((Z6)/65536),256)/2^3),2)*MOD(INT(MOD(INT((AA6)/65536),256)/2^3),2)*8+MOD(INT(MOD(INT((Z6)/65536),256)/2^4),2)*MOD(INT(MOD(INT((AA6)/65536),256)/2^4),2)*16+MOD(INT(MOD(INT((Z6)/65536),256)/2^5),2)*MOD(INT(MOD(INT((AA6)/65536),256)/2^5),2)*32+MOD(INT(MOD(INT((Z6)/65536),256)/2^6),2)*MOD(INT(MOD(INT((AA6)/65536),256)/2^6),2)*64+MOD(INT(MOD(INT((Z6)/65536),256)/2^7),2)*MOD(INT(MOD(INT((AA6)/65536),256)/2^7),2)*128)*65536+(MOD(INT(MOD(INT((Z6)/16777216),256)/2^0),2)*MOD(INT(MOD(INT((AA6)/16777216),256)/2^0),2)*1+MOD(INT(MOD(INT((Z6)/16777216),256)/2^1),2)*MOD(INT(MOD(INT((AA6)/16777216),256)/2^1),2)*2+MOD(INT(MOD(INT((Z6)/16777216),256)/2^2),2)*MOD(INT(MOD(INT((AA6)/16777216),256)/2^2),2)*4+MOD(INT(MOD(INT((Z6)/16777216),256)/2^3),2)*MOD(INT(MOD(INT((AA6)/16777216),256)/2^3),2)*8+MOD(INT(MOD(INT((Z6)/16777216),256)/2^4),2)*MOD(INT(MOD(INT((AA6)/16777216),256)/2^4),2)*16+MOD(INT(MOD(INT((Z6)/16777216),256)/2^5),2)*MOD(INT(MOD(INT((AA6)/16777216),256)/2^5),2)*32+MOD(INT(MOD(INT((Z6)/16777216),256)/2^6),2)*MOD(INT(MOD(INT((AA6)/16777216),256)/2^6),2)*64+MOD(INT(MOD(INT((Z6)/16777216),256)/2^7),2)*MOD(INT(MOD(INT((AA6)/16777216),256)/2^7),2)*128)*16777216)</f>
        <v>302141449</v>
      </c>
      <c r="AD6" s="30">
        <f t="shared" ref="AD6:AD37" si="23">MOD(Z6+AA6-2*AC6,4294967296)</f>
        <v>3921226198</v>
      </c>
      <c r="AE6" s="30">
        <f t="shared" ref="AE6:AE37" si="24">((MOD(INT(MOD(INT((AD6)/1),256)/2^0),2)*MOD(INT(MOD(INT((AB6)/1),256)/2^0),2)*1+MOD(INT(MOD(INT((AD6)/1),256)/2^1),2)*MOD(INT(MOD(INT((AB6)/1),256)/2^1),2)*2+MOD(INT(MOD(INT((AD6)/1),256)/2^2),2)*MOD(INT(MOD(INT((AB6)/1),256)/2^2),2)*4+MOD(INT(MOD(INT((AD6)/1),256)/2^3),2)*MOD(INT(MOD(INT((AB6)/1),256)/2^3),2)*8+MOD(INT(MOD(INT((AD6)/1),256)/2^4),2)*MOD(INT(MOD(INT((AB6)/1),256)/2^4),2)*16+MOD(INT(MOD(INT((AD6)/1),256)/2^5),2)*MOD(INT(MOD(INT((AB6)/1),256)/2^5),2)*32+MOD(INT(MOD(INT((AD6)/1),256)/2^6),2)*MOD(INT(MOD(INT((AB6)/1),256)/2^6),2)*64+MOD(INT(MOD(INT((AD6)/1),256)/2^7),2)*MOD(INT(MOD(INT((AB6)/1),256)/2^7),2)*128)*1+(MOD(INT(MOD(INT((AD6)/256),256)/2^0),2)*MOD(INT(MOD(INT((AB6)/256),256)/2^0),2)*1+MOD(INT(MOD(INT((AD6)/256),256)/2^1),2)*MOD(INT(MOD(INT((AB6)/256),256)/2^1),2)*2+MOD(INT(MOD(INT((AD6)/256),256)/2^2),2)*MOD(INT(MOD(INT((AB6)/256),256)/2^2),2)*4+MOD(INT(MOD(INT((AD6)/256),256)/2^3),2)*MOD(INT(MOD(INT((AB6)/256),256)/2^3),2)*8+MOD(INT(MOD(INT((AD6)/256),256)/2^4),2)*MOD(INT(MOD(INT((AB6)/256),256)/2^4),2)*16+MOD(INT(MOD(INT((AD6)/256),256)/2^5),2)*MOD(INT(MOD(INT((AB6)/256),256)/2^5),2)*32+MOD(INT(MOD(INT((AD6)/256),256)/2^6),2)*MOD(INT(MOD(INT((AB6)/256),256)/2^6),2)*64+MOD(INT(MOD(INT((AD6)/256),256)/2^7),2)*MOD(INT(MOD(INT((AB6)/256),256)/2^7),2)*128)*256+(MOD(INT(MOD(INT((AD6)/65536),256)/2^0),2)*MOD(INT(MOD(INT((AB6)/65536),256)/2^0),2)*1+MOD(INT(MOD(INT((AD6)/65536),256)/2^1),2)*MOD(INT(MOD(INT((AB6)/65536),256)/2^1),2)*2+MOD(INT(MOD(INT((AD6)/65536),256)/2^2),2)*MOD(INT(MOD(INT((AB6)/65536),256)/2^2),2)*4+MOD(INT(MOD(INT((AD6)/65536),256)/2^3),2)*MOD(INT(MOD(INT((AB6)/65536),256)/2^3),2)*8+MOD(INT(MOD(INT((AD6)/65536),256)/2^4),2)*MOD(INT(MOD(INT((AB6)/65536),256)/2^4),2)*16+MOD(INT(MOD(INT((AD6)/65536),256)/2^5),2)*MOD(INT(MOD(INT((AB6)/65536),256)/2^5),2)*32+MOD(INT(MOD(INT((AD6)/65536),256)/2^6),2)*MOD(INT(MOD(INT((AB6)/65536),256)/2^6),2)*64+MOD(INT(MOD(INT((AD6)/65536),256)/2^7),2)*MOD(INT(MOD(INT((AB6)/65536),256)/2^7),2)*128)*65536+(MOD(INT(MOD(INT((AD6)/16777216),256)/2^0),2)*MOD(INT(MOD(INT((AB6)/16777216),256)/2^0),2)*1+MOD(INT(MOD(INT((AD6)/16777216),256)/2^1),2)*MOD(INT(MOD(INT((AB6)/16777216),256)/2^1),2)*2+MOD(INT(MOD(INT((AD6)/16777216),256)/2^2),2)*MOD(INT(MOD(INT((AB6)/16777216),256)/2^2),2)*4+MOD(INT(MOD(INT((AD6)/16777216),256)/2^3),2)*MOD(INT(MOD(INT((AB6)/16777216),256)/2^3),2)*8+MOD(INT(MOD(INT((AD6)/16777216),256)/2^4),2)*MOD(INT(MOD(INT((AB6)/16777216),256)/2^4),2)*16+MOD(INT(MOD(INT((AD6)/16777216),256)/2^5),2)*MOD(INT(MOD(INT((AB6)/16777216),256)/2^5),2)*32+MOD(INT(MOD(INT((AD6)/16777216),256)/2^6),2)*MOD(INT(MOD(INT((AB6)/16777216),256)/2^6),2)*64+MOD(INT(MOD(INT((AD6)/16777216),256)/2^7),2)*MOD(INT(MOD(INT((AB6)/16777216),256)/2^7),2)*128)*16777216)</f>
        <v>563677568</v>
      </c>
      <c r="AF6" s="30">
        <f t="shared" ref="AF6:AF37" si="25">MOD(AD6+AB6-2*AE6,4294967296)</f>
        <v>3458249854</v>
      </c>
      <c r="AG6" s="27">
        <f>MOD(J5+Y6+M6+'📦 SHA-256 Constants'!C4+AN5,4294967296)</f>
        <v>1541233108</v>
      </c>
      <c r="AH6" s="27">
        <f t="shared" ref="AH6:AH37" si="26">MOD(AF6+R6,4294967296)</f>
        <v>143694565</v>
      </c>
      <c r="AI6" s="30">
        <f t="shared" ref="AI6:AI37" si="27">AN5</f>
        <v>1751477356</v>
      </c>
      <c r="AJ6" s="30">
        <f>'📦 SHA-256 Constants'!C4</f>
        <v>1116352408</v>
      </c>
      <c r="AK6" s="25" t="s">
        <v>164</v>
      </c>
      <c r="AM6" s="26">
        <v>1</v>
      </c>
      <c r="AN6" s="27">
        <f>(IF(LEN('🔐 SHA-256'!B5)&gt;4,CODE(MID('🔐 SHA-256'!B5,5,1)),IF(LEN('🔐 SHA-256'!B5)=4,128,0)))*16777216+(IF(LEN('🔐 SHA-256'!B5)&gt;5,CODE(MID('🔐 SHA-256'!B5,6,1)),IF(LEN('🔐 SHA-256'!B5)=5,128,0)))*65536+(IF(LEN('🔐 SHA-256'!B5)&gt;6,CODE(MID('🔐 SHA-256'!B5,7,1)),IF(LEN('🔐 SHA-256'!B5)=6,128,0)))*256+(IF(LEN('🔐 SHA-256'!B5)=7,128,0))</f>
        <v>1870659584</v>
      </c>
      <c r="AO6" s="28" t="s">
        <v>163</v>
      </c>
      <c r="AP6" s="28" t="s">
        <v>163</v>
      </c>
      <c r="AQ6" s="28" t="s">
        <v>163</v>
      </c>
      <c r="AR6" s="28" t="s">
        <v>163</v>
      </c>
      <c r="AS6" s="28" t="s">
        <v>163</v>
      </c>
      <c r="AT6" s="28" t="s">
        <v>163</v>
      </c>
      <c r="AU6" s="28" t="s">
        <v>163</v>
      </c>
    </row>
    <row r="7" spans="2:47" ht="13.5" customHeight="1" x14ac:dyDescent="0.25">
      <c r="B7" s="29">
        <v>2</v>
      </c>
      <c r="C7" s="27">
        <f t="shared" si="0"/>
        <v>2686139092</v>
      </c>
      <c r="D7" s="27">
        <f t="shared" si="1"/>
        <v>1684927673</v>
      </c>
      <c r="E7" s="27">
        <f t="shared" si="1"/>
        <v>1779033703</v>
      </c>
      <c r="F7" s="27">
        <f t="shared" si="1"/>
        <v>3144134277</v>
      </c>
      <c r="G7" s="27">
        <f t="shared" si="2"/>
        <v>655985617</v>
      </c>
      <c r="H7" s="27">
        <f t="shared" si="3"/>
        <v>19746574</v>
      </c>
      <c r="I7" s="27">
        <f t="shared" si="3"/>
        <v>1359893119</v>
      </c>
      <c r="J7" s="27">
        <f t="shared" si="3"/>
        <v>2600822924</v>
      </c>
      <c r="K7" s="30">
        <f t="shared" si="4"/>
        <v>17580558</v>
      </c>
      <c r="L7" s="30">
        <f t="shared" si="5"/>
        <v>2583699584</v>
      </c>
      <c r="M7" s="30">
        <f t="shared" si="6"/>
        <v>2601280142</v>
      </c>
      <c r="N7" s="30">
        <f t="shared" si="7"/>
        <v>1611260961</v>
      </c>
      <c r="O7" s="30">
        <f t="shared" si="8"/>
        <v>543532161</v>
      </c>
      <c r="P7" s="30">
        <f t="shared" si="9"/>
        <v>704751109</v>
      </c>
      <c r="Q7" s="30">
        <f t="shared" si="10"/>
        <v>536978433</v>
      </c>
      <c r="R7" s="30">
        <f t="shared" si="11"/>
        <v>1785587365</v>
      </c>
      <c r="S7" s="30">
        <f t="shared" si="12"/>
        <v>939832636</v>
      </c>
      <c r="T7" s="30">
        <f t="shared" si="13"/>
        <v>3787466153</v>
      </c>
      <c r="U7" s="30">
        <f t="shared" si="14"/>
        <v>2527561472</v>
      </c>
      <c r="V7" s="30">
        <f t="shared" si="15"/>
        <v>536880424</v>
      </c>
      <c r="W7" s="30">
        <f t="shared" si="16"/>
        <v>3653537941</v>
      </c>
      <c r="X7" s="30">
        <f t="shared" si="17"/>
        <v>2424602624</v>
      </c>
      <c r="Y7" s="30">
        <f t="shared" si="18"/>
        <v>1331894165</v>
      </c>
      <c r="Z7" s="30">
        <f t="shared" si="19"/>
        <v>1494973742</v>
      </c>
      <c r="AA7" s="30">
        <f t="shared" si="20"/>
        <v>2781553519</v>
      </c>
      <c r="AB7" s="30">
        <f t="shared" si="21"/>
        <v>3084051857</v>
      </c>
      <c r="AC7" s="30">
        <f t="shared" si="22"/>
        <v>17506606</v>
      </c>
      <c r="AD7" s="30">
        <f t="shared" si="23"/>
        <v>4241514049</v>
      </c>
      <c r="AE7" s="30">
        <f t="shared" si="24"/>
        <v>3033547777</v>
      </c>
      <c r="AF7" s="30">
        <f t="shared" si="25"/>
        <v>1258470352</v>
      </c>
      <c r="AG7" s="27">
        <f>MOD(J6+Y7+M7+'📦 SHA-256 Constants'!C5+AN6,4294967296)</f>
        <v>3937048671</v>
      </c>
      <c r="AH7" s="27">
        <f t="shared" si="26"/>
        <v>3044057717</v>
      </c>
      <c r="AI7" s="30">
        <f t="shared" si="27"/>
        <v>1870659584</v>
      </c>
      <c r="AJ7" s="30">
        <f>'📦 SHA-256 Constants'!C5</f>
        <v>1899447441</v>
      </c>
      <c r="AK7" s="25" t="s">
        <v>165</v>
      </c>
      <c r="AM7" s="26">
        <v>2</v>
      </c>
      <c r="AN7" s="27">
        <f t="shared" ref="AN7:AN18" si="28">(0)*16777216+(0)*65536+(0)*256+(0)</f>
        <v>0</v>
      </c>
      <c r="AO7" s="28" t="s">
        <v>163</v>
      </c>
      <c r="AP7" s="28" t="s">
        <v>163</v>
      </c>
      <c r="AQ7" s="28" t="s">
        <v>163</v>
      </c>
      <c r="AR7" s="28" t="s">
        <v>163</v>
      </c>
      <c r="AS7" s="28" t="s">
        <v>163</v>
      </c>
      <c r="AT7" s="28" t="s">
        <v>163</v>
      </c>
      <c r="AU7" s="28" t="s">
        <v>163</v>
      </c>
    </row>
    <row r="8" spans="2:47" ht="13.5" customHeight="1" x14ac:dyDescent="0.25">
      <c r="B8" s="29">
        <v>3</v>
      </c>
      <c r="C8" s="27">
        <f t="shared" si="0"/>
        <v>1185267959</v>
      </c>
      <c r="D8" s="27">
        <f t="shared" si="1"/>
        <v>2686139092</v>
      </c>
      <c r="E8" s="27">
        <f t="shared" si="1"/>
        <v>1684927673</v>
      </c>
      <c r="F8" s="27">
        <f t="shared" si="1"/>
        <v>1779033703</v>
      </c>
      <c r="G8" s="27">
        <f t="shared" si="2"/>
        <v>263904155</v>
      </c>
      <c r="H8" s="27">
        <f t="shared" si="3"/>
        <v>655985617</v>
      </c>
      <c r="I8" s="27">
        <f t="shared" si="3"/>
        <v>19746574</v>
      </c>
      <c r="J8" s="27">
        <f t="shared" si="3"/>
        <v>1359893119</v>
      </c>
      <c r="K8" s="30">
        <f t="shared" si="4"/>
        <v>17369856</v>
      </c>
      <c r="L8" s="30">
        <f t="shared" si="5"/>
        <v>1342591022</v>
      </c>
      <c r="M8" s="30">
        <f t="shared" si="6"/>
        <v>1359960878</v>
      </c>
      <c r="N8" s="30">
        <f t="shared" si="7"/>
        <v>537473168</v>
      </c>
      <c r="O8" s="30">
        <f t="shared" si="8"/>
        <v>537469508</v>
      </c>
      <c r="P8" s="30">
        <f t="shared" si="9"/>
        <v>1611260961</v>
      </c>
      <c r="Q8" s="30">
        <f t="shared" si="10"/>
        <v>537468928</v>
      </c>
      <c r="R8" s="30">
        <f t="shared" si="11"/>
        <v>1611265781</v>
      </c>
      <c r="S8" s="30">
        <f t="shared" si="12"/>
        <v>1151100463</v>
      </c>
      <c r="T8" s="30">
        <f t="shared" si="13"/>
        <v>2049237809</v>
      </c>
      <c r="U8" s="30">
        <f t="shared" si="14"/>
        <v>2361780371</v>
      </c>
      <c r="V8" s="30">
        <f t="shared" si="15"/>
        <v>1074029089</v>
      </c>
      <c r="W8" s="30">
        <f t="shared" si="16"/>
        <v>1052280094</v>
      </c>
      <c r="X8" s="30">
        <f t="shared" si="17"/>
        <v>209747986</v>
      </c>
      <c r="Y8" s="30">
        <f t="shared" si="18"/>
        <v>2994564493</v>
      </c>
      <c r="Z8" s="30">
        <f t="shared" si="19"/>
        <v>671534773</v>
      </c>
      <c r="AA8" s="30">
        <f t="shared" si="20"/>
        <v>3601137881</v>
      </c>
      <c r="AB8" s="30">
        <f t="shared" si="21"/>
        <v>1827361408</v>
      </c>
      <c r="AC8" s="30">
        <f t="shared" si="22"/>
        <v>262289</v>
      </c>
      <c r="AD8" s="30">
        <f t="shared" si="23"/>
        <v>4272148076</v>
      </c>
      <c r="AE8" s="30">
        <f t="shared" si="24"/>
        <v>1822638592</v>
      </c>
      <c r="AF8" s="30">
        <f t="shared" si="25"/>
        <v>2454232300</v>
      </c>
      <c r="AG8" s="27">
        <f>MOD(J7+Y8+M8+'📦 SHA-256 Constants'!C6+AN7,4294967296)</f>
        <v>1414737174</v>
      </c>
      <c r="AH8" s="27">
        <f t="shared" si="26"/>
        <v>4065498081</v>
      </c>
      <c r="AI8" s="30">
        <f t="shared" si="27"/>
        <v>0</v>
      </c>
      <c r="AJ8" s="30">
        <f>'📦 SHA-256 Constants'!C6</f>
        <v>3049323471</v>
      </c>
      <c r="AK8" s="25" t="s">
        <v>166</v>
      </c>
      <c r="AM8" s="26">
        <v>3</v>
      </c>
      <c r="AN8" s="27">
        <f t="shared" si="28"/>
        <v>0</v>
      </c>
      <c r="AO8" s="28" t="s">
        <v>163</v>
      </c>
      <c r="AP8" s="28" t="s">
        <v>163</v>
      </c>
      <c r="AQ8" s="28" t="s">
        <v>163</v>
      </c>
      <c r="AR8" s="28" t="s">
        <v>163</v>
      </c>
      <c r="AS8" s="28" t="s">
        <v>163</v>
      </c>
      <c r="AT8" s="28" t="s">
        <v>163</v>
      </c>
      <c r="AU8" s="28" t="s">
        <v>163</v>
      </c>
    </row>
    <row r="9" spans="2:47" ht="13.5" customHeight="1" x14ac:dyDescent="0.25">
      <c r="B9" s="29">
        <v>4</v>
      </c>
      <c r="C9" s="27">
        <f t="shared" si="0"/>
        <v>2840795241</v>
      </c>
      <c r="D9" s="27">
        <f t="shared" si="1"/>
        <v>1185267959</v>
      </c>
      <c r="E9" s="27">
        <f t="shared" si="1"/>
        <v>2686139092</v>
      </c>
      <c r="F9" s="27">
        <f t="shared" si="1"/>
        <v>1684927673</v>
      </c>
      <c r="G9" s="27">
        <f t="shared" si="2"/>
        <v>1847490002</v>
      </c>
      <c r="H9" s="27">
        <f t="shared" si="3"/>
        <v>263904155</v>
      </c>
      <c r="I9" s="27">
        <f t="shared" si="3"/>
        <v>655985617</v>
      </c>
      <c r="J9" s="27">
        <f t="shared" si="3"/>
        <v>19746574</v>
      </c>
      <c r="K9" s="30">
        <f t="shared" si="4"/>
        <v>119049105</v>
      </c>
      <c r="L9" s="30">
        <f t="shared" si="5"/>
        <v>328708</v>
      </c>
      <c r="M9" s="30">
        <f t="shared" si="6"/>
        <v>119377813</v>
      </c>
      <c r="N9" s="30">
        <f t="shared" si="7"/>
        <v>65748</v>
      </c>
      <c r="O9" s="30">
        <f t="shared" si="8"/>
        <v>1143324849</v>
      </c>
      <c r="P9" s="30">
        <f t="shared" si="9"/>
        <v>537473168</v>
      </c>
      <c r="Q9" s="30">
        <f t="shared" si="10"/>
        <v>65680</v>
      </c>
      <c r="R9" s="30">
        <f t="shared" si="11"/>
        <v>1680732405</v>
      </c>
      <c r="S9" s="30">
        <f t="shared" si="12"/>
        <v>1816062830</v>
      </c>
      <c r="T9" s="30">
        <f t="shared" si="13"/>
        <v>1935800155</v>
      </c>
      <c r="U9" s="30">
        <f t="shared" si="14"/>
        <v>3714960775</v>
      </c>
      <c r="V9" s="30">
        <f t="shared" si="15"/>
        <v>1612768074</v>
      </c>
      <c r="W9" s="30">
        <f t="shared" si="16"/>
        <v>526326837</v>
      </c>
      <c r="X9" s="30">
        <f t="shared" si="17"/>
        <v>491588613</v>
      </c>
      <c r="Y9" s="30">
        <f t="shared" si="18"/>
        <v>3258110386</v>
      </c>
      <c r="Z9" s="30">
        <f t="shared" si="19"/>
        <v>3517542461</v>
      </c>
      <c r="AA9" s="30">
        <f t="shared" si="20"/>
        <v>129643822</v>
      </c>
      <c r="AB9" s="30">
        <f t="shared" si="21"/>
        <v>2533612826</v>
      </c>
      <c r="AC9" s="30">
        <f t="shared" si="22"/>
        <v>27799596</v>
      </c>
      <c r="AD9" s="30">
        <f t="shared" si="23"/>
        <v>3591587091</v>
      </c>
      <c r="AE9" s="30">
        <f t="shared" si="24"/>
        <v>2516796690</v>
      </c>
      <c r="AF9" s="30">
        <f t="shared" si="25"/>
        <v>1091606537</v>
      </c>
      <c r="AG9" s="27">
        <f>MOD(J8+Y9+M9+'📦 SHA-256 Constants'!C7+AN8,4294967296)</f>
        <v>68456299</v>
      </c>
      <c r="AH9" s="27">
        <f t="shared" si="26"/>
        <v>2772338942</v>
      </c>
      <c r="AI9" s="30">
        <f t="shared" si="27"/>
        <v>0</v>
      </c>
      <c r="AJ9" s="30">
        <f>'📦 SHA-256 Constants'!C7</f>
        <v>3921009573</v>
      </c>
      <c r="AK9" s="25" t="s">
        <v>167</v>
      </c>
      <c r="AM9" s="26">
        <v>4</v>
      </c>
      <c r="AN9" s="27">
        <f t="shared" si="28"/>
        <v>0</v>
      </c>
      <c r="AO9" s="28" t="s">
        <v>163</v>
      </c>
      <c r="AP9" s="28" t="s">
        <v>163</v>
      </c>
      <c r="AQ9" s="28" t="s">
        <v>163</v>
      </c>
      <c r="AR9" s="28" t="s">
        <v>163</v>
      </c>
      <c r="AS9" s="28" t="s">
        <v>163</v>
      </c>
      <c r="AT9" s="28" t="s">
        <v>163</v>
      </c>
      <c r="AU9" s="28" t="s">
        <v>163</v>
      </c>
    </row>
    <row r="10" spans="2:47" ht="13.5" customHeight="1" x14ac:dyDescent="0.25">
      <c r="B10" s="29">
        <v>5</v>
      </c>
      <c r="C10" s="27">
        <f t="shared" si="0"/>
        <v>3422192454</v>
      </c>
      <c r="D10" s="27">
        <f t="shared" si="1"/>
        <v>2840795241</v>
      </c>
      <c r="E10" s="27">
        <f t="shared" si="1"/>
        <v>1185267959</v>
      </c>
      <c r="F10" s="27">
        <f t="shared" si="1"/>
        <v>2686139092</v>
      </c>
      <c r="G10" s="27">
        <f t="shared" si="2"/>
        <v>2866623715</v>
      </c>
      <c r="H10" s="27">
        <f t="shared" si="3"/>
        <v>1847490002</v>
      </c>
      <c r="I10" s="27">
        <f t="shared" si="3"/>
        <v>263904155</v>
      </c>
      <c r="J10" s="27">
        <f t="shared" si="3"/>
        <v>655985617</v>
      </c>
      <c r="K10" s="30">
        <f t="shared" si="4"/>
        <v>236605842</v>
      </c>
      <c r="L10" s="30">
        <f t="shared" si="5"/>
        <v>16878081</v>
      </c>
      <c r="M10" s="30">
        <f t="shared" si="6"/>
        <v>253483923</v>
      </c>
      <c r="N10" s="30">
        <f t="shared" si="7"/>
        <v>65633</v>
      </c>
      <c r="O10" s="30">
        <f t="shared" si="8"/>
        <v>2685605952</v>
      </c>
      <c r="P10" s="30">
        <f t="shared" si="9"/>
        <v>65748</v>
      </c>
      <c r="Q10" s="30">
        <f t="shared" si="10"/>
        <v>65600</v>
      </c>
      <c r="R10" s="30">
        <f t="shared" si="11"/>
        <v>2685606133</v>
      </c>
      <c r="S10" s="30">
        <f t="shared" si="12"/>
        <v>1236826583</v>
      </c>
      <c r="T10" s="30">
        <f t="shared" si="13"/>
        <v>3125658574</v>
      </c>
      <c r="U10" s="30">
        <f t="shared" si="14"/>
        <v>255519031</v>
      </c>
      <c r="V10" s="30">
        <f t="shared" si="15"/>
        <v>134758854</v>
      </c>
      <c r="W10" s="30">
        <f t="shared" si="16"/>
        <v>4092967449</v>
      </c>
      <c r="X10" s="30">
        <f t="shared" si="17"/>
        <v>53520401</v>
      </c>
      <c r="Y10" s="30">
        <f t="shared" si="18"/>
        <v>4241445678</v>
      </c>
      <c r="Z10" s="30">
        <f t="shared" si="19"/>
        <v>1783940634</v>
      </c>
      <c r="AA10" s="30">
        <f t="shared" si="20"/>
        <v>3276622488</v>
      </c>
      <c r="AB10" s="30">
        <f t="shared" si="21"/>
        <v>1281468069</v>
      </c>
      <c r="AC10" s="30">
        <f t="shared" si="22"/>
        <v>1111769624</v>
      </c>
      <c r="AD10" s="30">
        <f t="shared" si="23"/>
        <v>2837023874</v>
      </c>
      <c r="AE10" s="30">
        <f t="shared" si="24"/>
        <v>134317184</v>
      </c>
      <c r="AF10" s="30">
        <f t="shared" si="25"/>
        <v>3849857575</v>
      </c>
      <c r="AG10" s="27">
        <f>MOD(J9+Y10+M10+'📦 SHA-256 Constants'!C8+AN9,4294967296)</f>
        <v>1181696042</v>
      </c>
      <c r="AH10" s="27">
        <f t="shared" si="26"/>
        <v>2240496412</v>
      </c>
      <c r="AI10" s="30">
        <f t="shared" si="27"/>
        <v>0</v>
      </c>
      <c r="AJ10" s="30">
        <f>'📦 SHA-256 Constants'!C8</f>
        <v>961987163</v>
      </c>
      <c r="AK10" s="25" t="s">
        <v>168</v>
      </c>
      <c r="AM10" s="26">
        <v>5</v>
      </c>
      <c r="AN10" s="27">
        <f t="shared" si="28"/>
        <v>0</v>
      </c>
      <c r="AO10" s="28" t="s">
        <v>163</v>
      </c>
      <c r="AP10" s="28" t="s">
        <v>163</v>
      </c>
      <c r="AQ10" s="28" t="s">
        <v>163</v>
      </c>
      <c r="AR10" s="28" t="s">
        <v>163</v>
      </c>
      <c r="AS10" s="28" t="s">
        <v>163</v>
      </c>
      <c r="AT10" s="28" t="s">
        <v>163</v>
      </c>
      <c r="AU10" s="28" t="s">
        <v>163</v>
      </c>
    </row>
    <row r="11" spans="2:47" ht="13.5" customHeight="1" x14ac:dyDescent="0.25">
      <c r="B11" s="29">
        <v>6</v>
      </c>
      <c r="C11" s="27">
        <f t="shared" si="0"/>
        <v>994533581</v>
      </c>
      <c r="D11" s="27">
        <f t="shared" si="1"/>
        <v>3422192454</v>
      </c>
      <c r="E11" s="27">
        <f t="shared" si="1"/>
        <v>2840795241</v>
      </c>
      <c r="F11" s="27">
        <f t="shared" si="1"/>
        <v>1185267959</v>
      </c>
      <c r="G11" s="27">
        <f t="shared" si="2"/>
        <v>3433641744</v>
      </c>
      <c r="H11" s="27">
        <f t="shared" si="3"/>
        <v>2866623715</v>
      </c>
      <c r="I11" s="27">
        <f t="shared" si="3"/>
        <v>1847490002</v>
      </c>
      <c r="J11" s="27">
        <f t="shared" si="3"/>
        <v>263904155</v>
      </c>
      <c r="K11" s="30">
        <f t="shared" si="4"/>
        <v>706491586</v>
      </c>
      <c r="L11" s="30">
        <f t="shared" si="5"/>
        <v>86166296</v>
      </c>
      <c r="M11" s="30">
        <f t="shared" si="6"/>
        <v>792657882</v>
      </c>
      <c r="N11" s="30">
        <f t="shared" si="7"/>
        <v>2303852608</v>
      </c>
      <c r="O11" s="30">
        <f t="shared" si="8"/>
        <v>1117814854</v>
      </c>
      <c r="P11" s="30">
        <f t="shared" si="9"/>
        <v>65633</v>
      </c>
      <c r="Q11" s="30">
        <f t="shared" si="10"/>
        <v>64</v>
      </c>
      <c r="R11" s="30">
        <f t="shared" si="11"/>
        <v>3421732967</v>
      </c>
      <c r="S11" s="30">
        <f t="shared" si="12"/>
        <v>2393601235</v>
      </c>
      <c r="T11" s="30">
        <f t="shared" si="13"/>
        <v>2624936870</v>
      </c>
      <c r="U11" s="30">
        <f t="shared" si="14"/>
        <v>1855615445</v>
      </c>
      <c r="V11" s="30">
        <f t="shared" si="15"/>
        <v>2350993538</v>
      </c>
      <c r="W11" s="30">
        <f t="shared" si="16"/>
        <v>316551029</v>
      </c>
      <c r="X11" s="30">
        <f t="shared" si="17"/>
        <v>43655509</v>
      </c>
      <c r="Y11" s="30">
        <f t="shared" si="18"/>
        <v>2084855456</v>
      </c>
      <c r="Z11" s="30">
        <f t="shared" si="19"/>
        <v>3003031761</v>
      </c>
      <c r="AA11" s="30">
        <f t="shared" si="20"/>
        <v>439771092</v>
      </c>
      <c r="AB11" s="30">
        <f t="shared" si="21"/>
        <v>3926727471</v>
      </c>
      <c r="AC11" s="30">
        <f t="shared" si="22"/>
        <v>305529040</v>
      </c>
      <c r="AD11" s="30">
        <f t="shared" si="23"/>
        <v>2831744773</v>
      </c>
      <c r="AE11" s="30">
        <f t="shared" si="24"/>
        <v>2819103493</v>
      </c>
      <c r="AF11" s="30">
        <f t="shared" si="25"/>
        <v>1120265258</v>
      </c>
      <c r="AG11" s="27">
        <f>MOD(J10+Y11+M11+'📦 SHA-256 Constants'!C9+AN10,4294967296)</f>
        <v>747502652</v>
      </c>
      <c r="AH11" s="27">
        <f t="shared" si="26"/>
        <v>247030929</v>
      </c>
      <c r="AI11" s="30">
        <f t="shared" si="27"/>
        <v>0</v>
      </c>
      <c r="AJ11" s="30">
        <f>'📦 SHA-256 Constants'!C9</f>
        <v>1508970993</v>
      </c>
      <c r="AK11" s="25" t="s">
        <v>169</v>
      </c>
      <c r="AM11" s="26">
        <v>6</v>
      </c>
      <c r="AN11" s="27">
        <f t="shared" si="28"/>
        <v>0</v>
      </c>
      <c r="AO11" s="28" t="s">
        <v>163</v>
      </c>
      <c r="AP11" s="28" t="s">
        <v>163</v>
      </c>
      <c r="AQ11" s="28" t="s">
        <v>163</v>
      </c>
      <c r="AR11" s="28" t="s">
        <v>163</v>
      </c>
      <c r="AS11" s="28" t="s">
        <v>163</v>
      </c>
      <c r="AT11" s="28" t="s">
        <v>163</v>
      </c>
      <c r="AU11" s="28" t="s">
        <v>163</v>
      </c>
    </row>
    <row r="12" spans="2:47" ht="13.5" customHeight="1" x14ac:dyDescent="0.25">
      <c r="B12" s="29">
        <v>7</v>
      </c>
      <c r="C12" s="27">
        <f t="shared" si="0"/>
        <v>1121502159</v>
      </c>
      <c r="D12" s="27">
        <f t="shared" si="1"/>
        <v>994533581</v>
      </c>
      <c r="E12" s="27">
        <f t="shared" si="1"/>
        <v>3422192454</v>
      </c>
      <c r="F12" s="27">
        <f t="shared" si="1"/>
        <v>2840795241</v>
      </c>
      <c r="G12" s="27">
        <f t="shared" si="2"/>
        <v>2297449876</v>
      </c>
      <c r="H12" s="27">
        <f t="shared" si="3"/>
        <v>3433641744</v>
      </c>
      <c r="I12" s="27">
        <f t="shared" si="3"/>
        <v>2866623715</v>
      </c>
      <c r="J12" s="27">
        <f t="shared" si="3"/>
        <v>1847490002</v>
      </c>
      <c r="K12" s="30">
        <f t="shared" si="4"/>
        <v>2290693120</v>
      </c>
      <c r="L12" s="30">
        <f t="shared" si="5"/>
        <v>571883714</v>
      </c>
      <c r="M12" s="30">
        <f t="shared" si="6"/>
        <v>2862576834</v>
      </c>
      <c r="N12" s="30">
        <f t="shared" si="7"/>
        <v>188874820</v>
      </c>
      <c r="O12" s="30">
        <f t="shared" si="8"/>
        <v>692256841</v>
      </c>
      <c r="P12" s="30">
        <f t="shared" si="9"/>
        <v>2303852608</v>
      </c>
      <c r="Q12" s="30">
        <f t="shared" si="10"/>
        <v>155320384</v>
      </c>
      <c r="R12" s="30">
        <f t="shared" si="11"/>
        <v>2874343501</v>
      </c>
      <c r="S12" s="30">
        <f t="shared" si="12"/>
        <v>1127392476</v>
      </c>
      <c r="T12" s="30">
        <f t="shared" si="13"/>
        <v>3793327398</v>
      </c>
      <c r="U12" s="30">
        <f t="shared" si="14"/>
        <v>1419479142</v>
      </c>
      <c r="V12" s="30">
        <f t="shared" si="15"/>
        <v>1108378628</v>
      </c>
      <c r="W12" s="30">
        <f t="shared" si="16"/>
        <v>2703962618</v>
      </c>
      <c r="X12" s="30">
        <f t="shared" si="17"/>
        <v>720994</v>
      </c>
      <c r="Y12" s="30">
        <f t="shared" si="18"/>
        <v>4121999772</v>
      </c>
      <c r="Z12" s="30">
        <f t="shared" si="19"/>
        <v>1322375219</v>
      </c>
      <c r="AA12" s="30">
        <f t="shared" si="20"/>
        <v>107600443</v>
      </c>
      <c r="AB12" s="30">
        <f t="shared" si="21"/>
        <v>495138029</v>
      </c>
      <c r="AC12" s="30">
        <f t="shared" si="22"/>
        <v>104978483</v>
      </c>
      <c r="AD12" s="30">
        <f t="shared" si="23"/>
        <v>1220018696</v>
      </c>
      <c r="AE12" s="30">
        <f t="shared" si="24"/>
        <v>142606344</v>
      </c>
      <c r="AF12" s="30">
        <f t="shared" si="25"/>
        <v>1429944037</v>
      </c>
      <c r="AG12" s="27">
        <f>MOD(J11+Y12+M12+'📦 SHA-256 Constants'!C10+AN11,4294967296)</f>
        <v>1112181917</v>
      </c>
      <c r="AH12" s="27">
        <f t="shared" si="26"/>
        <v>9320242</v>
      </c>
      <c r="AI12" s="30">
        <f t="shared" si="27"/>
        <v>0</v>
      </c>
      <c r="AJ12" s="30">
        <f>'📦 SHA-256 Constants'!C10</f>
        <v>2453635748</v>
      </c>
      <c r="AK12" s="25" t="s">
        <v>170</v>
      </c>
      <c r="AM12" s="26">
        <v>7</v>
      </c>
      <c r="AN12" s="27">
        <f t="shared" si="28"/>
        <v>0</v>
      </c>
      <c r="AO12" s="28" t="s">
        <v>163</v>
      </c>
      <c r="AP12" s="28" t="s">
        <v>163</v>
      </c>
      <c r="AQ12" s="28" t="s">
        <v>163</v>
      </c>
      <c r="AR12" s="28" t="s">
        <v>163</v>
      </c>
      <c r="AS12" s="28" t="s">
        <v>163</v>
      </c>
      <c r="AT12" s="28" t="s">
        <v>163</v>
      </c>
      <c r="AU12" s="28" t="s">
        <v>163</v>
      </c>
    </row>
    <row r="13" spans="2:47" ht="13.5" customHeight="1" x14ac:dyDescent="0.25">
      <c r="B13" s="29">
        <v>8</v>
      </c>
      <c r="C13" s="27">
        <f t="shared" si="0"/>
        <v>1444544162</v>
      </c>
      <c r="D13" s="27">
        <f t="shared" si="1"/>
        <v>1121502159</v>
      </c>
      <c r="E13" s="27">
        <f t="shared" si="1"/>
        <v>994533581</v>
      </c>
      <c r="F13" s="27">
        <f t="shared" si="1"/>
        <v>3422192454</v>
      </c>
      <c r="G13" s="27">
        <f t="shared" si="2"/>
        <v>97466366</v>
      </c>
      <c r="H13" s="27">
        <f t="shared" si="3"/>
        <v>2297449876</v>
      </c>
      <c r="I13" s="27">
        <f t="shared" si="3"/>
        <v>3433641744</v>
      </c>
      <c r="J13" s="27">
        <f t="shared" si="3"/>
        <v>2866623715</v>
      </c>
      <c r="K13" s="30">
        <f t="shared" si="4"/>
        <v>2292188432</v>
      </c>
      <c r="L13" s="30">
        <f t="shared" si="5"/>
        <v>571289699</v>
      </c>
      <c r="M13" s="30">
        <f t="shared" si="6"/>
        <v>2863478131</v>
      </c>
      <c r="N13" s="30">
        <f t="shared" si="7"/>
        <v>37765325</v>
      </c>
      <c r="O13" s="30">
        <f t="shared" si="8"/>
        <v>1121485638</v>
      </c>
      <c r="P13" s="30">
        <f t="shared" si="9"/>
        <v>188874820</v>
      </c>
      <c r="Q13" s="30">
        <f t="shared" si="10"/>
        <v>37748804</v>
      </c>
      <c r="R13" s="30">
        <f t="shared" si="11"/>
        <v>1272628175</v>
      </c>
      <c r="S13" s="30">
        <f t="shared" si="12"/>
        <v>1378074934</v>
      </c>
      <c r="T13" s="30">
        <f t="shared" si="13"/>
        <v>2995854857</v>
      </c>
      <c r="U13" s="30">
        <f t="shared" si="14"/>
        <v>2015808068</v>
      </c>
      <c r="V13" s="30">
        <f t="shared" si="15"/>
        <v>302055424</v>
      </c>
      <c r="W13" s="30">
        <f t="shared" si="16"/>
        <v>3769818943</v>
      </c>
      <c r="X13" s="30">
        <f t="shared" si="17"/>
        <v>1612892676</v>
      </c>
      <c r="Y13" s="30">
        <f t="shared" si="18"/>
        <v>2559841659</v>
      </c>
      <c r="Z13" s="30">
        <f t="shared" si="19"/>
        <v>3501601011</v>
      </c>
      <c r="AA13" s="30">
        <f t="shared" si="20"/>
        <v>511317702</v>
      </c>
      <c r="AB13" s="30">
        <f t="shared" si="21"/>
        <v>1661943051</v>
      </c>
      <c r="AC13" s="30">
        <f t="shared" si="22"/>
        <v>271716546</v>
      </c>
      <c r="AD13" s="30">
        <f t="shared" si="23"/>
        <v>3469485621</v>
      </c>
      <c r="AE13" s="30">
        <f t="shared" si="24"/>
        <v>1108091905</v>
      </c>
      <c r="AF13" s="30">
        <f t="shared" si="25"/>
        <v>2915244862</v>
      </c>
      <c r="AG13" s="27">
        <f>MOD(J12+Y13+M13+'📦 SHA-256 Constants'!C11+AN12,4294967296)</f>
        <v>1551638421</v>
      </c>
      <c r="AH13" s="27">
        <f t="shared" si="26"/>
        <v>4187873037</v>
      </c>
      <c r="AI13" s="30">
        <f t="shared" si="27"/>
        <v>0</v>
      </c>
      <c r="AJ13" s="30">
        <f>'📦 SHA-256 Constants'!C11</f>
        <v>2870763221</v>
      </c>
      <c r="AK13" s="25" t="s">
        <v>171</v>
      </c>
      <c r="AM13" s="26">
        <v>8</v>
      </c>
      <c r="AN13" s="27">
        <f t="shared" si="28"/>
        <v>0</v>
      </c>
      <c r="AO13" s="28" t="s">
        <v>163</v>
      </c>
      <c r="AP13" s="28" t="s">
        <v>163</v>
      </c>
      <c r="AQ13" s="28" t="s">
        <v>163</v>
      </c>
      <c r="AR13" s="28" t="s">
        <v>163</v>
      </c>
      <c r="AS13" s="28" t="s">
        <v>163</v>
      </c>
      <c r="AT13" s="28" t="s">
        <v>163</v>
      </c>
      <c r="AU13" s="28" t="s">
        <v>163</v>
      </c>
    </row>
    <row r="14" spans="2:47" ht="13.5" customHeight="1" x14ac:dyDescent="0.25">
      <c r="B14" s="29">
        <v>9</v>
      </c>
      <c r="C14" s="27">
        <f t="shared" si="0"/>
        <v>2245625944</v>
      </c>
      <c r="D14" s="27">
        <f t="shared" si="1"/>
        <v>1444544162</v>
      </c>
      <c r="E14" s="27">
        <f t="shared" si="1"/>
        <v>1121502159</v>
      </c>
      <c r="F14" s="27">
        <f t="shared" si="1"/>
        <v>994533581</v>
      </c>
      <c r="G14" s="27">
        <f t="shared" si="2"/>
        <v>4161528464</v>
      </c>
      <c r="H14" s="27">
        <f t="shared" si="3"/>
        <v>97466366</v>
      </c>
      <c r="I14" s="27">
        <f t="shared" si="3"/>
        <v>2297449876</v>
      </c>
      <c r="J14" s="27">
        <f t="shared" si="3"/>
        <v>3433641744</v>
      </c>
      <c r="K14" s="30">
        <f t="shared" si="4"/>
        <v>12584340</v>
      </c>
      <c r="L14" s="30">
        <f t="shared" si="5"/>
        <v>3357540352</v>
      </c>
      <c r="M14" s="30">
        <f t="shared" si="6"/>
        <v>3370124692</v>
      </c>
      <c r="N14" s="30">
        <f t="shared" si="7"/>
        <v>1108918914</v>
      </c>
      <c r="O14" s="30">
        <f t="shared" si="8"/>
        <v>302080128</v>
      </c>
      <c r="P14" s="30">
        <f t="shared" si="9"/>
        <v>37765325</v>
      </c>
      <c r="Q14" s="30">
        <f t="shared" si="10"/>
        <v>33570944</v>
      </c>
      <c r="R14" s="30">
        <f t="shared" si="11"/>
        <v>1381622479</v>
      </c>
      <c r="S14" s="30">
        <f t="shared" si="12"/>
        <v>4162272479</v>
      </c>
      <c r="T14" s="30">
        <f t="shared" si="13"/>
        <v>4290820582</v>
      </c>
      <c r="U14" s="30">
        <f t="shared" si="14"/>
        <v>3885760258</v>
      </c>
      <c r="V14" s="30">
        <f t="shared" si="15"/>
        <v>4160764102</v>
      </c>
      <c r="W14" s="30">
        <f t="shared" si="16"/>
        <v>131564857</v>
      </c>
      <c r="X14" s="30">
        <f t="shared" si="17"/>
        <v>127108352</v>
      </c>
      <c r="Y14" s="30">
        <f t="shared" si="18"/>
        <v>3763108411</v>
      </c>
      <c r="Z14" s="30">
        <f t="shared" si="19"/>
        <v>2508619688</v>
      </c>
      <c r="AA14" s="30">
        <f t="shared" si="20"/>
        <v>4111642831</v>
      </c>
      <c r="AB14" s="30">
        <f t="shared" si="21"/>
        <v>1744472408</v>
      </c>
      <c r="AC14" s="30">
        <f t="shared" si="22"/>
        <v>2499948680</v>
      </c>
      <c r="AD14" s="30">
        <f t="shared" si="23"/>
        <v>1620365159</v>
      </c>
      <c r="AE14" s="30">
        <f t="shared" si="24"/>
        <v>1620085056</v>
      </c>
      <c r="AF14" s="30">
        <f t="shared" si="25"/>
        <v>124667455</v>
      </c>
      <c r="AG14" s="27">
        <f>MOD(J13+Y14+M14+'📦 SHA-256 Constants'!C12+AN13,4294967296)</f>
        <v>739336010</v>
      </c>
      <c r="AH14" s="27">
        <f t="shared" si="26"/>
        <v>1506289934</v>
      </c>
      <c r="AI14" s="30">
        <f t="shared" si="27"/>
        <v>0</v>
      </c>
      <c r="AJ14" s="30">
        <f>'📦 SHA-256 Constants'!C12</f>
        <v>3624381080</v>
      </c>
      <c r="AK14" s="25" t="s">
        <v>172</v>
      </c>
      <c r="AM14" s="26">
        <v>9</v>
      </c>
      <c r="AN14" s="27">
        <f t="shared" si="28"/>
        <v>0</v>
      </c>
      <c r="AO14" s="28" t="s">
        <v>163</v>
      </c>
      <c r="AP14" s="28" t="s">
        <v>163</v>
      </c>
      <c r="AQ14" s="28" t="s">
        <v>163</v>
      </c>
      <c r="AR14" s="28" t="s">
        <v>163</v>
      </c>
      <c r="AS14" s="28" t="s">
        <v>163</v>
      </c>
      <c r="AT14" s="28" t="s">
        <v>163</v>
      </c>
      <c r="AU14" s="28" t="s">
        <v>163</v>
      </c>
    </row>
    <row r="15" spans="2:47" ht="13.5" customHeight="1" x14ac:dyDescent="0.25">
      <c r="B15" s="29">
        <v>10</v>
      </c>
      <c r="C15" s="27">
        <f t="shared" si="0"/>
        <v>1084432838</v>
      </c>
      <c r="D15" s="27">
        <f t="shared" si="1"/>
        <v>2245625944</v>
      </c>
      <c r="E15" s="27">
        <f t="shared" si="1"/>
        <v>1444544162</v>
      </c>
      <c r="F15" s="27">
        <f t="shared" si="1"/>
        <v>1121502159</v>
      </c>
      <c r="G15" s="27">
        <f t="shared" si="2"/>
        <v>796756220</v>
      </c>
      <c r="H15" s="27">
        <f t="shared" si="3"/>
        <v>4161528464</v>
      </c>
      <c r="I15" s="27">
        <f t="shared" si="3"/>
        <v>97466366</v>
      </c>
      <c r="J15" s="27">
        <f t="shared" si="3"/>
        <v>2297449876</v>
      </c>
      <c r="K15" s="30">
        <f t="shared" si="4"/>
        <v>729744</v>
      </c>
      <c r="L15" s="30">
        <f t="shared" si="5"/>
        <v>15731972</v>
      </c>
      <c r="M15" s="30">
        <f t="shared" si="6"/>
        <v>16461716</v>
      </c>
      <c r="N15" s="30">
        <f t="shared" si="7"/>
        <v>68782080</v>
      </c>
      <c r="O15" s="30">
        <f t="shared" si="8"/>
        <v>14188616</v>
      </c>
      <c r="P15" s="30">
        <f t="shared" si="9"/>
        <v>1108918914</v>
      </c>
      <c r="Q15" s="30">
        <f t="shared" si="10"/>
        <v>1605632</v>
      </c>
      <c r="R15" s="30">
        <f t="shared" si="11"/>
        <v>1188678346</v>
      </c>
      <c r="S15" s="30">
        <f t="shared" si="12"/>
        <v>1138765706</v>
      </c>
      <c r="T15" s="30">
        <f t="shared" si="13"/>
        <v>1377763708</v>
      </c>
      <c r="U15" s="30">
        <f t="shared" si="14"/>
        <v>99698812</v>
      </c>
      <c r="V15" s="30">
        <f t="shared" si="15"/>
        <v>1107296520</v>
      </c>
      <c r="W15" s="30">
        <f t="shared" si="16"/>
        <v>301936374</v>
      </c>
      <c r="X15" s="30">
        <f t="shared" si="17"/>
        <v>32573556</v>
      </c>
      <c r="Y15" s="30">
        <f t="shared" si="18"/>
        <v>336488074</v>
      </c>
      <c r="Z15" s="30">
        <f t="shared" si="19"/>
        <v>561406486</v>
      </c>
      <c r="AA15" s="30">
        <f t="shared" si="20"/>
        <v>1120153292</v>
      </c>
      <c r="AB15" s="30">
        <f t="shared" si="21"/>
        <v>1713463831</v>
      </c>
      <c r="AC15" s="30">
        <f t="shared" si="22"/>
        <v>4465156</v>
      </c>
      <c r="AD15" s="30">
        <f t="shared" si="23"/>
        <v>1672629466</v>
      </c>
      <c r="AE15" s="30">
        <f t="shared" si="24"/>
        <v>1646280722</v>
      </c>
      <c r="AF15" s="30">
        <f t="shared" si="25"/>
        <v>93531853</v>
      </c>
      <c r="AG15" s="27">
        <f>MOD(J14+Y15+M15+'📦 SHA-256 Constants'!C13+AN14,4294967296)</f>
        <v>4097189935</v>
      </c>
      <c r="AH15" s="27">
        <f t="shared" si="26"/>
        <v>1282210199</v>
      </c>
      <c r="AI15" s="30">
        <f t="shared" si="27"/>
        <v>0</v>
      </c>
      <c r="AJ15" s="30">
        <f>'📦 SHA-256 Constants'!C13</f>
        <v>310598401</v>
      </c>
      <c r="AK15" s="25" t="s">
        <v>173</v>
      </c>
      <c r="AM15" s="26">
        <v>10</v>
      </c>
      <c r="AN15" s="27">
        <f t="shared" si="28"/>
        <v>0</v>
      </c>
      <c r="AO15" s="28" t="s">
        <v>163</v>
      </c>
      <c r="AP15" s="28" t="s">
        <v>163</v>
      </c>
      <c r="AQ15" s="28" t="s">
        <v>163</v>
      </c>
      <c r="AR15" s="28" t="s">
        <v>163</v>
      </c>
      <c r="AS15" s="28" t="s">
        <v>163</v>
      </c>
      <c r="AT15" s="28" t="s">
        <v>163</v>
      </c>
      <c r="AU15" s="28" t="s">
        <v>163</v>
      </c>
    </row>
    <row r="16" spans="2:47" ht="13.5" customHeight="1" x14ac:dyDescent="0.25">
      <c r="B16" s="29">
        <v>11</v>
      </c>
      <c r="C16" s="27">
        <f t="shared" si="0"/>
        <v>2128703381</v>
      </c>
      <c r="D16" s="27">
        <f t="shared" si="1"/>
        <v>1084432838</v>
      </c>
      <c r="E16" s="27">
        <f t="shared" si="1"/>
        <v>2245625944</v>
      </c>
      <c r="F16" s="27">
        <f t="shared" si="1"/>
        <v>1444544162</v>
      </c>
      <c r="G16" s="27">
        <f t="shared" si="2"/>
        <v>1786951224</v>
      </c>
      <c r="H16" s="27">
        <f t="shared" si="3"/>
        <v>796756220</v>
      </c>
      <c r="I16" s="27">
        <f t="shared" si="3"/>
        <v>4161528464</v>
      </c>
      <c r="J16" s="27">
        <f t="shared" si="3"/>
        <v>97466366</v>
      </c>
      <c r="K16" s="30">
        <f t="shared" si="4"/>
        <v>671711376</v>
      </c>
      <c r="L16" s="30">
        <f t="shared" si="5"/>
        <v>8533762</v>
      </c>
      <c r="M16" s="30">
        <f t="shared" si="6"/>
        <v>680245138</v>
      </c>
      <c r="N16" s="30">
        <f t="shared" si="7"/>
        <v>8454208</v>
      </c>
      <c r="O16" s="30">
        <f t="shared" si="8"/>
        <v>1073815682</v>
      </c>
      <c r="P16" s="30">
        <f t="shared" si="9"/>
        <v>68782080</v>
      </c>
      <c r="Q16" s="30">
        <f t="shared" si="10"/>
        <v>65536</v>
      </c>
      <c r="R16" s="30">
        <f t="shared" si="11"/>
        <v>1150920898</v>
      </c>
      <c r="S16" s="30">
        <f t="shared" si="12"/>
        <v>4038981155</v>
      </c>
      <c r="T16" s="30">
        <f t="shared" si="13"/>
        <v>528871345</v>
      </c>
      <c r="U16" s="30">
        <f t="shared" si="14"/>
        <v>3200548375</v>
      </c>
      <c r="V16" s="30">
        <f t="shared" si="15"/>
        <v>277210657</v>
      </c>
      <c r="W16" s="30">
        <f t="shared" si="16"/>
        <v>4013431186</v>
      </c>
      <c r="X16" s="30">
        <f t="shared" si="17"/>
        <v>2919241746</v>
      </c>
      <c r="Y16" s="30">
        <f t="shared" si="18"/>
        <v>1375496069</v>
      </c>
      <c r="Z16" s="30">
        <f t="shared" si="19"/>
        <v>2418591857</v>
      </c>
      <c r="AA16" s="30">
        <f t="shared" si="20"/>
        <v>238159129</v>
      </c>
      <c r="AB16" s="30">
        <f t="shared" si="21"/>
        <v>2357664002</v>
      </c>
      <c r="AC16" s="30">
        <f t="shared" si="22"/>
        <v>2097169</v>
      </c>
      <c r="AD16" s="30">
        <f t="shared" si="23"/>
        <v>2652556648</v>
      </c>
      <c r="AE16" s="30">
        <f t="shared" si="24"/>
        <v>2348943616</v>
      </c>
      <c r="AF16" s="30">
        <f t="shared" si="25"/>
        <v>312333418</v>
      </c>
      <c r="AG16" s="27">
        <f>MOD(J15+Y16+M16+'📦 SHA-256 Constants'!C14+AN15,4294967296)</f>
        <v>665449065</v>
      </c>
      <c r="AH16" s="27">
        <f t="shared" si="26"/>
        <v>1463254316</v>
      </c>
      <c r="AI16" s="30">
        <f t="shared" si="27"/>
        <v>0</v>
      </c>
      <c r="AJ16" s="30">
        <f>'📦 SHA-256 Constants'!C14</f>
        <v>607225278</v>
      </c>
      <c r="AK16" s="25" t="s">
        <v>174</v>
      </c>
      <c r="AM16" s="26">
        <v>11</v>
      </c>
      <c r="AN16" s="27">
        <f t="shared" si="28"/>
        <v>0</v>
      </c>
      <c r="AO16" s="28" t="s">
        <v>163</v>
      </c>
      <c r="AP16" s="28" t="s">
        <v>163</v>
      </c>
      <c r="AQ16" s="28" t="s">
        <v>163</v>
      </c>
      <c r="AR16" s="28" t="s">
        <v>163</v>
      </c>
      <c r="AS16" s="28" t="s">
        <v>163</v>
      </c>
      <c r="AT16" s="28" t="s">
        <v>163</v>
      </c>
      <c r="AU16" s="28" t="s">
        <v>163</v>
      </c>
    </row>
    <row r="17" spans="2:47" ht="13.5" customHeight="1" x14ac:dyDescent="0.25">
      <c r="B17" s="29">
        <v>12</v>
      </c>
      <c r="C17" s="27">
        <f t="shared" si="0"/>
        <v>1752227869</v>
      </c>
      <c r="D17" s="27">
        <f t="shared" si="1"/>
        <v>2128703381</v>
      </c>
      <c r="E17" s="27">
        <f t="shared" si="1"/>
        <v>1084432838</v>
      </c>
      <c r="F17" s="27">
        <f t="shared" si="1"/>
        <v>2245625944</v>
      </c>
      <c r="G17" s="27">
        <f t="shared" si="2"/>
        <v>3539712982</v>
      </c>
      <c r="H17" s="27">
        <f t="shared" si="3"/>
        <v>1786951224</v>
      </c>
      <c r="I17" s="27">
        <f t="shared" si="3"/>
        <v>796756220</v>
      </c>
      <c r="J17" s="27">
        <f t="shared" si="3"/>
        <v>4161528464</v>
      </c>
      <c r="K17" s="30">
        <f t="shared" si="4"/>
        <v>704675896</v>
      </c>
      <c r="L17" s="30">
        <f t="shared" si="5"/>
        <v>2416525440</v>
      </c>
      <c r="M17" s="30">
        <f t="shared" si="6"/>
        <v>3121201336</v>
      </c>
      <c r="N17" s="30">
        <f t="shared" si="7"/>
        <v>1084301700</v>
      </c>
      <c r="O17" s="30">
        <f t="shared" si="8"/>
        <v>79759376</v>
      </c>
      <c r="P17" s="30">
        <f t="shared" si="9"/>
        <v>8454208</v>
      </c>
      <c r="Q17" s="30">
        <f t="shared" si="10"/>
        <v>8454144</v>
      </c>
      <c r="R17" s="30">
        <f t="shared" si="11"/>
        <v>1155606996</v>
      </c>
      <c r="S17" s="30">
        <f t="shared" si="12"/>
        <v>3786017496</v>
      </c>
      <c r="T17" s="30">
        <f t="shared" si="13"/>
        <v>3339538518</v>
      </c>
      <c r="U17" s="30">
        <f t="shared" si="14"/>
        <v>1096490037</v>
      </c>
      <c r="V17" s="30">
        <f t="shared" si="15"/>
        <v>3238527056</v>
      </c>
      <c r="W17" s="30">
        <f t="shared" si="16"/>
        <v>648501902</v>
      </c>
      <c r="X17" s="30">
        <f t="shared" si="17"/>
        <v>202756</v>
      </c>
      <c r="Y17" s="30">
        <f t="shared" si="18"/>
        <v>1744586427</v>
      </c>
      <c r="Z17" s="30">
        <f t="shared" si="19"/>
        <v>1605917669</v>
      </c>
      <c r="AA17" s="30">
        <f t="shared" si="20"/>
        <v>2091644683</v>
      </c>
      <c r="AB17" s="30">
        <f t="shared" si="21"/>
        <v>2243843579</v>
      </c>
      <c r="AC17" s="30">
        <f t="shared" si="22"/>
        <v>1554535169</v>
      </c>
      <c r="AD17" s="30">
        <f t="shared" si="23"/>
        <v>588492014</v>
      </c>
      <c r="AE17" s="30">
        <f t="shared" si="24"/>
        <v>17958122</v>
      </c>
      <c r="AF17" s="30">
        <f t="shared" si="25"/>
        <v>2796419349</v>
      </c>
      <c r="AG17" s="27">
        <f>MOD(J16+Y17+M17+'📦 SHA-256 Constants'!C15+AN16,4294967296)</f>
        <v>2095168820</v>
      </c>
      <c r="AH17" s="27">
        <f t="shared" si="26"/>
        <v>3952026345</v>
      </c>
      <c r="AI17" s="30">
        <f t="shared" si="27"/>
        <v>0</v>
      </c>
      <c r="AJ17" s="30">
        <f>'📦 SHA-256 Constants'!C15</f>
        <v>1426881987</v>
      </c>
      <c r="AK17" s="25" t="s">
        <v>175</v>
      </c>
      <c r="AM17" s="26">
        <v>12</v>
      </c>
      <c r="AN17" s="27">
        <f t="shared" si="28"/>
        <v>0</v>
      </c>
      <c r="AO17" s="28" t="s">
        <v>163</v>
      </c>
      <c r="AP17" s="28" t="s">
        <v>163</v>
      </c>
      <c r="AQ17" s="28" t="s">
        <v>163</v>
      </c>
      <c r="AR17" s="28" t="s">
        <v>163</v>
      </c>
      <c r="AS17" s="28" t="s">
        <v>163</v>
      </c>
      <c r="AT17" s="28" t="s">
        <v>163</v>
      </c>
      <c r="AU17" s="28" t="s">
        <v>163</v>
      </c>
    </row>
    <row r="18" spans="2:47" ht="13.5" customHeight="1" x14ac:dyDescent="0.25">
      <c r="B18" s="29">
        <v>13</v>
      </c>
      <c r="C18" s="27">
        <f t="shared" si="0"/>
        <v>955628771</v>
      </c>
      <c r="D18" s="27">
        <f t="shared" si="1"/>
        <v>1752227869</v>
      </c>
      <c r="E18" s="27">
        <f t="shared" si="1"/>
        <v>2128703381</v>
      </c>
      <c r="F18" s="27">
        <f t="shared" si="1"/>
        <v>1084432838</v>
      </c>
      <c r="G18" s="27">
        <f t="shared" si="2"/>
        <v>3161904517</v>
      </c>
      <c r="H18" s="27">
        <f t="shared" si="3"/>
        <v>3539712982</v>
      </c>
      <c r="I18" s="27">
        <f t="shared" si="3"/>
        <v>1786951224</v>
      </c>
      <c r="J18" s="27">
        <f t="shared" si="3"/>
        <v>796756220</v>
      </c>
      <c r="K18" s="30">
        <f t="shared" si="4"/>
        <v>1115861520</v>
      </c>
      <c r="L18" s="30">
        <f t="shared" si="5"/>
        <v>755236904</v>
      </c>
      <c r="M18" s="30">
        <f t="shared" si="6"/>
        <v>1871098424</v>
      </c>
      <c r="N18" s="30">
        <f t="shared" si="7"/>
        <v>1751146517</v>
      </c>
      <c r="O18" s="30">
        <f t="shared" si="8"/>
        <v>1075847172</v>
      </c>
      <c r="P18" s="30">
        <f t="shared" si="9"/>
        <v>1084301700</v>
      </c>
      <c r="Q18" s="30">
        <f t="shared" si="10"/>
        <v>1075847172</v>
      </c>
      <c r="R18" s="30">
        <f t="shared" si="11"/>
        <v>1759601045</v>
      </c>
      <c r="S18" s="30">
        <f t="shared" si="12"/>
        <v>1531703023</v>
      </c>
      <c r="T18" s="30">
        <f t="shared" si="13"/>
        <v>2061131639</v>
      </c>
      <c r="U18" s="30">
        <f t="shared" si="14"/>
        <v>2111695721</v>
      </c>
      <c r="V18" s="30">
        <f t="shared" si="15"/>
        <v>1514819175</v>
      </c>
      <c r="W18" s="30">
        <f t="shared" si="16"/>
        <v>563196312</v>
      </c>
      <c r="X18" s="30">
        <f t="shared" si="17"/>
        <v>563192072</v>
      </c>
      <c r="Y18" s="30">
        <f t="shared" si="18"/>
        <v>1548507889</v>
      </c>
      <c r="Z18" s="30">
        <f t="shared" si="19"/>
        <v>1511798791</v>
      </c>
      <c r="AA18" s="30">
        <f t="shared" si="20"/>
        <v>15418247</v>
      </c>
      <c r="AB18" s="30">
        <f t="shared" si="21"/>
        <v>3279975841</v>
      </c>
      <c r="AC18" s="30">
        <f t="shared" si="22"/>
        <v>524295</v>
      </c>
      <c r="AD18" s="30">
        <f t="shared" si="23"/>
        <v>1526168448</v>
      </c>
      <c r="AE18" s="30">
        <f t="shared" si="24"/>
        <v>1115713920</v>
      </c>
      <c r="AF18" s="30">
        <f t="shared" si="25"/>
        <v>2574716449</v>
      </c>
      <c r="AG18" s="27">
        <f>MOD(J17+Y18+M18+'📦 SHA-256 Constants'!C16+AN17,4294967296)</f>
        <v>916278573</v>
      </c>
      <c r="AH18" s="27">
        <f t="shared" si="26"/>
        <v>39350198</v>
      </c>
      <c r="AI18" s="30">
        <f t="shared" si="27"/>
        <v>0</v>
      </c>
      <c r="AJ18" s="30">
        <f>'📦 SHA-256 Constants'!C16</f>
        <v>1925078388</v>
      </c>
      <c r="AK18" s="25" t="s">
        <v>176</v>
      </c>
      <c r="AM18" s="26">
        <v>13</v>
      </c>
      <c r="AN18" s="27">
        <f t="shared" si="28"/>
        <v>0</v>
      </c>
      <c r="AO18" s="28" t="s">
        <v>163</v>
      </c>
      <c r="AP18" s="28" t="s">
        <v>163</v>
      </c>
      <c r="AQ18" s="28" t="s">
        <v>163</v>
      </c>
      <c r="AR18" s="28" t="s">
        <v>163</v>
      </c>
      <c r="AS18" s="28" t="s">
        <v>163</v>
      </c>
      <c r="AT18" s="28" t="s">
        <v>163</v>
      </c>
      <c r="AU18" s="28" t="s">
        <v>163</v>
      </c>
    </row>
    <row r="19" spans="2:47" ht="13.5" customHeight="1" x14ac:dyDescent="0.25">
      <c r="B19" s="29">
        <v>14</v>
      </c>
      <c r="C19" s="27">
        <f t="shared" si="0"/>
        <v>2571409171</v>
      </c>
      <c r="D19" s="27">
        <f t="shared" si="1"/>
        <v>955628771</v>
      </c>
      <c r="E19" s="27">
        <f t="shared" si="1"/>
        <v>1752227869</v>
      </c>
      <c r="F19" s="27">
        <f t="shared" si="1"/>
        <v>2128703381</v>
      </c>
      <c r="G19" s="27">
        <f t="shared" si="2"/>
        <v>1629398990</v>
      </c>
      <c r="H19" s="27">
        <f t="shared" si="3"/>
        <v>3161904517</v>
      </c>
      <c r="I19" s="27">
        <f t="shared" si="3"/>
        <v>3539712982</v>
      </c>
      <c r="J19" s="27">
        <f t="shared" si="3"/>
        <v>1786951224</v>
      </c>
      <c r="K19" s="30">
        <f t="shared" si="4"/>
        <v>2423427460</v>
      </c>
      <c r="L19" s="30">
        <f t="shared" si="5"/>
        <v>1115693624</v>
      </c>
      <c r="M19" s="30">
        <f t="shared" si="6"/>
        <v>3539121084</v>
      </c>
      <c r="N19" s="30">
        <f t="shared" si="7"/>
        <v>678469633</v>
      </c>
      <c r="O19" s="30">
        <f t="shared" si="8"/>
        <v>954281089</v>
      </c>
      <c r="P19" s="30">
        <f t="shared" si="9"/>
        <v>1751146517</v>
      </c>
      <c r="Q19" s="30">
        <f t="shared" si="10"/>
        <v>677388289</v>
      </c>
      <c r="R19" s="30">
        <f t="shared" si="11"/>
        <v>2029120661</v>
      </c>
      <c r="S19" s="30">
        <f t="shared" si="12"/>
        <v>384949078</v>
      </c>
      <c r="T19" s="30">
        <f t="shared" si="13"/>
        <v>2964819674</v>
      </c>
      <c r="U19" s="30">
        <f t="shared" si="14"/>
        <v>996852446</v>
      </c>
      <c r="V19" s="30">
        <f t="shared" si="15"/>
        <v>280070738</v>
      </c>
      <c r="W19" s="30">
        <f t="shared" si="16"/>
        <v>2789627276</v>
      </c>
      <c r="X19" s="30">
        <f t="shared" si="17"/>
        <v>574767244</v>
      </c>
      <c r="Y19" s="30">
        <f t="shared" si="18"/>
        <v>2636945234</v>
      </c>
      <c r="Z19" s="30">
        <f t="shared" si="19"/>
        <v>3460132664</v>
      </c>
      <c r="AA19" s="30">
        <f t="shared" si="20"/>
        <v>3877226413</v>
      </c>
      <c r="AB19" s="30">
        <f t="shared" si="21"/>
        <v>3606285539</v>
      </c>
      <c r="AC19" s="30">
        <f t="shared" si="22"/>
        <v>3323545384</v>
      </c>
      <c r="AD19" s="30">
        <f t="shared" si="23"/>
        <v>690268309</v>
      </c>
      <c r="AE19" s="30">
        <f t="shared" si="24"/>
        <v>2132097</v>
      </c>
      <c r="AF19" s="30">
        <f t="shared" si="25"/>
        <v>4292289654</v>
      </c>
      <c r="AG19" s="27">
        <f>MOD(J18+Y19+M19+'📦 SHA-256 Constants'!C17+AN18,4294967296)</f>
        <v>544966152</v>
      </c>
      <c r="AH19" s="27">
        <f t="shared" si="26"/>
        <v>2026443019</v>
      </c>
      <c r="AI19" s="30">
        <f t="shared" si="27"/>
        <v>0</v>
      </c>
      <c r="AJ19" s="30">
        <f>'📦 SHA-256 Constants'!C17</f>
        <v>2162078206</v>
      </c>
      <c r="AK19" s="25" t="s">
        <v>177</v>
      </c>
      <c r="AM19" s="26">
        <v>14</v>
      </c>
      <c r="AN19" s="27">
        <f>(INT(LEN('🔐 SHA-256'!B5)*8/2^56))*16777216+(MOD(INT(LEN('🔐 SHA-256'!B5)*8/2^48),256))*65536+(MOD(INT(LEN('🔐 SHA-256'!B5)*8/2^40),256))*256+(MOD(INT(LEN('🔐 SHA-256'!B5)*8/2^32),256))</f>
        <v>0</v>
      </c>
      <c r="AO19" s="28" t="s">
        <v>163</v>
      </c>
      <c r="AP19" s="28" t="s">
        <v>163</v>
      </c>
      <c r="AQ19" s="28" t="s">
        <v>163</v>
      </c>
      <c r="AR19" s="28" t="s">
        <v>163</v>
      </c>
      <c r="AS19" s="28" t="s">
        <v>163</v>
      </c>
      <c r="AT19" s="28" t="s">
        <v>163</v>
      </c>
      <c r="AU19" s="28" t="s">
        <v>163</v>
      </c>
    </row>
    <row r="20" spans="2:47" ht="13.5" customHeight="1" x14ac:dyDescent="0.25">
      <c r="B20" s="29">
        <v>15</v>
      </c>
      <c r="C20" s="27">
        <f t="shared" si="0"/>
        <v>2373480070</v>
      </c>
      <c r="D20" s="27">
        <f t="shared" si="1"/>
        <v>2571409171</v>
      </c>
      <c r="E20" s="27">
        <f t="shared" si="1"/>
        <v>955628771</v>
      </c>
      <c r="F20" s="27">
        <f t="shared" si="1"/>
        <v>1752227869</v>
      </c>
      <c r="G20" s="27">
        <f t="shared" si="2"/>
        <v>2270398595</v>
      </c>
      <c r="H20" s="27">
        <f t="shared" si="3"/>
        <v>1629398990</v>
      </c>
      <c r="I20" s="27">
        <f t="shared" si="3"/>
        <v>3161904517</v>
      </c>
      <c r="J20" s="27">
        <f t="shared" si="3"/>
        <v>3539712982</v>
      </c>
      <c r="K20" s="30">
        <f t="shared" si="4"/>
        <v>538346884</v>
      </c>
      <c r="L20" s="30">
        <f t="shared" si="5"/>
        <v>2464225296</v>
      </c>
      <c r="M20" s="30">
        <f t="shared" si="6"/>
        <v>3002572180</v>
      </c>
      <c r="N20" s="30">
        <f t="shared" si="7"/>
        <v>407147523</v>
      </c>
      <c r="O20" s="30">
        <f t="shared" si="8"/>
        <v>138444817</v>
      </c>
      <c r="P20" s="30">
        <f t="shared" si="9"/>
        <v>678469633</v>
      </c>
      <c r="Q20" s="30">
        <f t="shared" si="10"/>
        <v>138444801</v>
      </c>
      <c r="R20" s="30">
        <f t="shared" si="11"/>
        <v>947172371</v>
      </c>
      <c r="S20" s="30">
        <f t="shared" si="12"/>
        <v>964983455</v>
      </c>
      <c r="T20" s="30">
        <f t="shared" si="13"/>
        <v>4190905300</v>
      </c>
      <c r="U20" s="30">
        <f t="shared" si="14"/>
        <v>2404640560</v>
      </c>
      <c r="V20" s="30">
        <f t="shared" si="15"/>
        <v>964960916</v>
      </c>
      <c r="W20" s="30">
        <f t="shared" si="16"/>
        <v>3225966923</v>
      </c>
      <c r="X20" s="30">
        <f t="shared" si="17"/>
        <v>2151694592</v>
      </c>
      <c r="Y20" s="30">
        <f t="shared" si="18"/>
        <v>1327218299</v>
      </c>
      <c r="Z20" s="30">
        <f t="shared" si="19"/>
        <v>3864077764</v>
      </c>
      <c r="AA20" s="30">
        <f t="shared" si="20"/>
        <v>3097283108</v>
      </c>
      <c r="AB20" s="30">
        <f t="shared" si="21"/>
        <v>308039269</v>
      </c>
      <c r="AC20" s="30">
        <f t="shared" si="22"/>
        <v>2685403140</v>
      </c>
      <c r="AD20" s="30">
        <f t="shared" si="23"/>
        <v>1590554592</v>
      </c>
      <c r="AE20" s="30">
        <f t="shared" si="24"/>
        <v>306990688</v>
      </c>
      <c r="AF20" s="30">
        <f t="shared" si="25"/>
        <v>1284612485</v>
      </c>
      <c r="AG20" s="27">
        <f>MOD(J19+Y20+M20+'📦 SHA-256 Constants'!C18+AN19,4294967296)</f>
        <v>141695214</v>
      </c>
      <c r="AH20" s="27">
        <f t="shared" si="26"/>
        <v>2231784856</v>
      </c>
      <c r="AI20" s="30">
        <f t="shared" si="27"/>
        <v>0</v>
      </c>
      <c r="AJ20" s="30">
        <f>'📦 SHA-256 Constants'!C18</f>
        <v>2614888103</v>
      </c>
      <c r="AK20" s="25" t="s">
        <v>178</v>
      </c>
      <c r="AM20" s="26">
        <v>15</v>
      </c>
      <c r="AN20" s="27">
        <f>(MOD(INT(LEN('🔐 SHA-256'!B5)*8/16777216),256))*16777216+(MOD(INT(LEN('🔐 SHA-256'!B5)*8/65536),256))*65536+(MOD(INT(LEN('🔐 SHA-256'!B5)*8/256),256))*256+(MOD(LEN('🔐 SHA-256'!B5)*8,256))</f>
        <v>40</v>
      </c>
      <c r="AO20" s="28" t="s">
        <v>163</v>
      </c>
      <c r="AP20" s="28" t="s">
        <v>163</v>
      </c>
      <c r="AQ20" s="28" t="s">
        <v>163</v>
      </c>
      <c r="AR20" s="28" t="s">
        <v>163</v>
      </c>
      <c r="AS20" s="28" t="s">
        <v>163</v>
      </c>
      <c r="AT20" s="28" t="s">
        <v>163</v>
      </c>
      <c r="AU20" s="28" t="s">
        <v>163</v>
      </c>
    </row>
    <row r="21" spans="2:47" ht="13.5" customHeight="1" x14ac:dyDescent="0.25">
      <c r="B21" s="29">
        <v>16</v>
      </c>
      <c r="C21" s="27">
        <f t="shared" si="0"/>
        <v>1438486882</v>
      </c>
      <c r="D21" s="27">
        <f t="shared" si="1"/>
        <v>2373480070</v>
      </c>
      <c r="E21" s="27">
        <f t="shared" si="1"/>
        <v>2571409171</v>
      </c>
      <c r="F21" s="27">
        <f t="shared" si="1"/>
        <v>955628771</v>
      </c>
      <c r="G21" s="27">
        <f t="shared" si="2"/>
        <v>3991488677</v>
      </c>
      <c r="H21" s="27">
        <f t="shared" si="3"/>
        <v>2270398595</v>
      </c>
      <c r="I21" s="27">
        <f t="shared" si="3"/>
        <v>1629398990</v>
      </c>
      <c r="J21" s="27">
        <f t="shared" si="3"/>
        <v>3161904517</v>
      </c>
      <c r="K21" s="30">
        <f t="shared" si="4"/>
        <v>17989762</v>
      </c>
      <c r="L21" s="30">
        <f t="shared" si="5"/>
        <v>941905156</v>
      </c>
      <c r="M21" s="30">
        <f t="shared" si="6"/>
        <v>959894918</v>
      </c>
      <c r="N21" s="30">
        <f t="shared" si="7"/>
        <v>2302674434</v>
      </c>
      <c r="O21" s="30">
        <f t="shared" si="8"/>
        <v>141569154</v>
      </c>
      <c r="P21" s="30">
        <f t="shared" si="9"/>
        <v>407147523</v>
      </c>
      <c r="Q21" s="30">
        <f t="shared" si="10"/>
        <v>138413058</v>
      </c>
      <c r="R21" s="30">
        <f t="shared" si="11"/>
        <v>2574564995</v>
      </c>
      <c r="S21" s="30">
        <f t="shared" si="12"/>
        <v>236801570</v>
      </c>
      <c r="T21" s="30">
        <f t="shared" si="13"/>
        <v>275835505</v>
      </c>
      <c r="U21" s="30">
        <f t="shared" si="14"/>
        <v>2848211395</v>
      </c>
      <c r="V21" s="30">
        <f t="shared" si="15"/>
        <v>1067552</v>
      </c>
      <c r="W21" s="30">
        <f t="shared" si="16"/>
        <v>510501971</v>
      </c>
      <c r="X21" s="30">
        <f t="shared" si="17"/>
        <v>138674243</v>
      </c>
      <c r="Y21" s="30">
        <f t="shared" si="18"/>
        <v>3081364880</v>
      </c>
      <c r="Z21" s="30">
        <f t="shared" si="19"/>
        <v>2740853665</v>
      </c>
      <c r="AA21" s="30">
        <f t="shared" si="20"/>
        <v>1949592515</v>
      </c>
      <c r="AB21" s="30">
        <f t="shared" si="21"/>
        <v>3787070005</v>
      </c>
      <c r="AC21" s="30">
        <f t="shared" si="22"/>
        <v>538184577</v>
      </c>
      <c r="AD21" s="30">
        <f t="shared" si="23"/>
        <v>3614077026</v>
      </c>
      <c r="AE21" s="30">
        <f t="shared" si="24"/>
        <v>3240759328</v>
      </c>
      <c r="AF21" s="30">
        <f t="shared" si="25"/>
        <v>919628375</v>
      </c>
      <c r="AG21" s="27">
        <f>MOD(J20+Y21+M21+'📦 SHA-256 Constants'!C19+AN20,4294967296)</f>
        <v>2239260808</v>
      </c>
      <c r="AH21" s="27">
        <f t="shared" si="26"/>
        <v>3494193370</v>
      </c>
      <c r="AI21" s="30">
        <f t="shared" si="27"/>
        <v>40</v>
      </c>
      <c r="AJ21" s="30">
        <f>'📦 SHA-256 Constants'!C19</f>
        <v>3248222580</v>
      </c>
      <c r="AK21" s="25" t="s">
        <v>179</v>
      </c>
      <c r="AM21" s="26">
        <v>16</v>
      </c>
      <c r="AN21" s="31">
        <f t="shared" ref="AN21:AN68" si="29">MOD(AN5+AQ21+AN14+AU21,4294967296)</f>
        <v>1972668492</v>
      </c>
      <c r="AO21" s="32">
        <f t="shared" ref="AO21:AO68" si="30">MOD(MOD(AN6,2^7)*2^25+INT(AN6/2^7),4294967296)</f>
        <v>14614528</v>
      </c>
      <c r="AP21" s="32">
        <f t="shared" ref="AP21:AP68" si="31">((MOD(INT(MOD(INT((AO21)/1),256)/2^0),2)*MOD(INT(MOD(INT((MOD(MOD(AN6,2^18)*2^14+INT(AN6/2^18),4294967296))/1),256)/2^0),2)*1+MOD(INT(MOD(INT((AO21)/1),256)/2^1),2)*MOD(INT(MOD(INT((MOD(MOD(AN6,2^18)*2^14+INT(AN6/2^18),4294967296))/1),256)/2^1),2)*2+MOD(INT(MOD(INT((AO21)/1),256)/2^2),2)*MOD(INT(MOD(INT((MOD(MOD(AN6,2^18)*2^14+INT(AN6/2^18),4294967296))/1),256)/2^2),2)*4+MOD(INT(MOD(INT((AO21)/1),256)/2^3),2)*MOD(INT(MOD(INT((MOD(MOD(AN6,2^18)*2^14+INT(AN6/2^18),4294967296))/1),256)/2^3),2)*8+MOD(INT(MOD(INT((AO21)/1),256)/2^4),2)*MOD(INT(MOD(INT((MOD(MOD(AN6,2^18)*2^14+INT(AN6/2^18),4294967296))/1),256)/2^4),2)*16+MOD(INT(MOD(INT((AO21)/1),256)/2^5),2)*MOD(INT(MOD(INT((MOD(MOD(AN6,2^18)*2^14+INT(AN6/2^18),4294967296))/1),256)/2^5),2)*32+MOD(INT(MOD(INT((AO21)/1),256)/2^6),2)*MOD(INT(MOD(INT((MOD(MOD(AN6,2^18)*2^14+INT(AN6/2^18),4294967296))/1),256)/2^6),2)*64+MOD(INT(MOD(INT((AO21)/1),256)/2^7),2)*MOD(INT(MOD(INT((MOD(MOD(AN6,2^18)*2^14+INT(AN6/2^18),4294967296))/1),256)/2^7),2)*128)*1+(MOD(INT(MOD(INT((AO21)/256),256)/2^0),2)*MOD(INT(MOD(INT((MOD(MOD(AN6,2^18)*2^14+INT(AN6/2^18),4294967296))/256),256)/2^0),2)*1+MOD(INT(MOD(INT((AO21)/256),256)/2^1),2)*MOD(INT(MOD(INT((MOD(MOD(AN6,2^18)*2^14+INT(AN6/2^18),4294967296))/256),256)/2^1),2)*2+MOD(INT(MOD(INT((AO21)/256),256)/2^2),2)*MOD(INT(MOD(INT((MOD(MOD(AN6,2^18)*2^14+INT(AN6/2^18),4294967296))/256),256)/2^2),2)*4+MOD(INT(MOD(INT((AO21)/256),256)/2^3),2)*MOD(INT(MOD(INT((MOD(MOD(AN6,2^18)*2^14+INT(AN6/2^18),4294967296))/256),256)/2^3),2)*8+MOD(INT(MOD(INT((AO21)/256),256)/2^4),2)*MOD(INT(MOD(INT((MOD(MOD(AN6,2^18)*2^14+INT(AN6/2^18),4294967296))/256),256)/2^4),2)*16+MOD(INT(MOD(INT((AO21)/256),256)/2^5),2)*MOD(INT(MOD(INT((MOD(MOD(AN6,2^18)*2^14+INT(AN6/2^18),4294967296))/256),256)/2^5),2)*32+MOD(INT(MOD(INT((AO21)/256),256)/2^6),2)*MOD(INT(MOD(INT((MOD(MOD(AN6,2^18)*2^14+INT(AN6/2^18),4294967296))/256),256)/2^6),2)*64+MOD(INT(MOD(INT((AO21)/256),256)/2^7),2)*MOD(INT(MOD(INT((MOD(MOD(AN6,2^18)*2^14+INT(AN6/2^18),4294967296))/256),256)/2^7),2)*128)*256+(MOD(INT(MOD(INT((AO21)/65536),256)/2^0),2)*MOD(INT(MOD(INT((MOD(MOD(AN6,2^18)*2^14+INT(AN6/2^18),4294967296))/65536),256)/2^0),2)*1+MOD(INT(MOD(INT((AO21)/65536),256)/2^1),2)*MOD(INT(MOD(INT((MOD(MOD(AN6,2^18)*2^14+INT(AN6/2^18),4294967296))/65536),256)/2^1),2)*2+MOD(INT(MOD(INT((AO21)/65536),256)/2^2),2)*MOD(INT(MOD(INT((MOD(MOD(AN6,2^18)*2^14+INT(AN6/2^18),4294967296))/65536),256)/2^2),2)*4+MOD(INT(MOD(INT((AO21)/65536),256)/2^3),2)*MOD(INT(MOD(INT((MOD(MOD(AN6,2^18)*2^14+INT(AN6/2^18),4294967296))/65536),256)/2^3),2)*8+MOD(INT(MOD(INT((AO21)/65536),256)/2^4),2)*MOD(INT(MOD(INT((MOD(MOD(AN6,2^18)*2^14+INT(AN6/2^18),4294967296))/65536),256)/2^4),2)*16+MOD(INT(MOD(INT((AO21)/65536),256)/2^5),2)*MOD(INT(MOD(INT((MOD(MOD(AN6,2^18)*2^14+INT(AN6/2^18),4294967296))/65536),256)/2^5),2)*32+MOD(INT(MOD(INT((AO21)/65536),256)/2^6),2)*MOD(INT(MOD(INT((MOD(MOD(AN6,2^18)*2^14+INT(AN6/2^18),4294967296))/65536),256)/2^6),2)*64+MOD(INT(MOD(INT((AO21)/65536),256)/2^7),2)*MOD(INT(MOD(INT((MOD(MOD(AN6,2^18)*2^14+INT(AN6/2^18),4294967296))/65536),256)/2^7),2)*128)*65536+(MOD(INT(MOD(INT((AO21)/16777216),256)/2^0),2)*MOD(INT(MOD(INT((MOD(MOD(AN6,2^18)*2^14+INT(AN6/2^18),4294967296))/16777216),256)/2^0),2)*1+MOD(INT(MOD(INT((AO21)/16777216),256)/2^1),2)*MOD(INT(MOD(INT((MOD(MOD(AN6,2^18)*2^14+INT(AN6/2^18),4294967296))/16777216),256)/2^1),2)*2+MOD(INT(MOD(INT((AO21)/16777216),256)/2^2),2)*MOD(INT(MOD(INT((MOD(MOD(AN6,2^18)*2^14+INT(AN6/2^18),4294967296))/16777216),256)/2^2),2)*4+MOD(INT(MOD(INT((AO21)/16777216),256)/2^3),2)*MOD(INT(MOD(INT((MOD(MOD(AN6,2^18)*2^14+INT(AN6/2^18),4294967296))/16777216),256)/2^3),2)*8+MOD(INT(MOD(INT((AO21)/16777216),256)/2^4),2)*MOD(INT(MOD(INT((MOD(MOD(AN6,2^18)*2^14+INT(AN6/2^18),4294967296))/16777216),256)/2^4),2)*16+MOD(INT(MOD(INT((AO21)/16777216),256)/2^5),2)*MOD(INT(MOD(INT((MOD(MOD(AN6,2^18)*2^14+INT(AN6/2^18),4294967296))/16777216),256)/2^5),2)*32+MOD(INT(MOD(INT((AO21)/16777216),256)/2^6),2)*MOD(INT(MOD(INT((MOD(MOD(AN6,2^18)*2^14+INT(AN6/2^18),4294967296))/16777216),256)/2^6),2)*64+MOD(INT(MOD(INT((AO21)/16777216),256)/2^7),2)*MOD(INT(MOD(INT((MOD(MOD(AN6,2^18)*2^14+INT(AN6/2^18),4294967296))/16777216),256)/2^7),2)*128)*16777216)</f>
        <v>0</v>
      </c>
      <c r="AQ21" s="32">
        <f t="shared" ref="AQ21:AQ68" si="32">MOD(MOD(AO21+MOD(MOD(AN6,2^18)*2^14+INT(AN6/2^18),4294967296)-2*AP21,4294967296)+INT(AN6/2^3)-2*((MOD(INT(MOD(INT((MOD(AO21+MOD(MOD(AN6,2^18)*2^14+INT(AN6/2^18),4294967296)-2*AP21,4294967296))/1),256)/2^0),2)*MOD(INT(MOD(INT((INT(AN6/2^3))/1),256)/2^0),2)*1+MOD(INT(MOD(INT((MOD(AO21+MOD(MOD(AN6,2^18)*2^14+INT(AN6/2^18),4294967296)-2*AP21,4294967296))/1),256)/2^1),2)*MOD(INT(MOD(INT((INT(AN6/2^3))/1),256)/2^1),2)*2+MOD(INT(MOD(INT((MOD(AO21+MOD(MOD(AN6,2^18)*2^14+INT(AN6/2^18),4294967296)-2*AP21,4294967296))/1),256)/2^2),2)*MOD(INT(MOD(INT((INT(AN6/2^3))/1),256)/2^2),2)*4+MOD(INT(MOD(INT((MOD(AO21+MOD(MOD(AN6,2^18)*2^14+INT(AN6/2^18),4294967296)-2*AP21,4294967296))/1),256)/2^3),2)*MOD(INT(MOD(INT((INT(AN6/2^3))/1),256)/2^3),2)*8+MOD(INT(MOD(INT((MOD(AO21+MOD(MOD(AN6,2^18)*2^14+INT(AN6/2^18),4294967296)-2*AP21,4294967296))/1),256)/2^4),2)*MOD(INT(MOD(INT((INT(AN6/2^3))/1),256)/2^4),2)*16+MOD(INT(MOD(INT((MOD(AO21+MOD(MOD(AN6,2^18)*2^14+INT(AN6/2^18),4294967296)-2*AP21,4294967296))/1),256)/2^5),2)*MOD(INT(MOD(INT((INT(AN6/2^3))/1),256)/2^5),2)*32+MOD(INT(MOD(INT((MOD(AO21+MOD(MOD(AN6,2^18)*2^14+INT(AN6/2^18),4294967296)-2*AP21,4294967296))/1),256)/2^6),2)*MOD(INT(MOD(INT((INT(AN6/2^3))/1),256)/2^6),2)*64+MOD(INT(MOD(INT((MOD(AO21+MOD(MOD(AN6,2^18)*2^14+INT(AN6/2^18),4294967296)-2*AP21,4294967296))/1),256)/2^7),2)*MOD(INT(MOD(INT((INT(AN6/2^3))/1),256)/2^7),2)*128)*1+(MOD(INT(MOD(INT((MOD(AO21+MOD(MOD(AN6,2^18)*2^14+INT(AN6/2^18),4294967296)-2*AP21,4294967296))/256),256)/2^0),2)*MOD(INT(MOD(INT((INT(AN6/2^3))/256),256)/2^0),2)*1+MOD(INT(MOD(INT((MOD(AO21+MOD(MOD(AN6,2^18)*2^14+INT(AN6/2^18),4294967296)-2*AP21,4294967296))/256),256)/2^1),2)*MOD(INT(MOD(INT((INT(AN6/2^3))/256),256)/2^1),2)*2+MOD(INT(MOD(INT((MOD(AO21+MOD(MOD(AN6,2^18)*2^14+INT(AN6/2^18),4294967296)-2*AP21,4294967296))/256),256)/2^2),2)*MOD(INT(MOD(INT((INT(AN6/2^3))/256),256)/2^2),2)*4+MOD(INT(MOD(INT((MOD(AO21+MOD(MOD(AN6,2^18)*2^14+INT(AN6/2^18),4294967296)-2*AP21,4294967296))/256),256)/2^3),2)*MOD(INT(MOD(INT((INT(AN6/2^3))/256),256)/2^3),2)*8+MOD(INT(MOD(INT((MOD(AO21+MOD(MOD(AN6,2^18)*2^14+INT(AN6/2^18),4294967296)-2*AP21,4294967296))/256),256)/2^4),2)*MOD(INT(MOD(INT((INT(AN6/2^3))/256),256)/2^4),2)*16+MOD(INT(MOD(INT((MOD(AO21+MOD(MOD(AN6,2^18)*2^14+INT(AN6/2^18),4294967296)-2*AP21,4294967296))/256),256)/2^5),2)*MOD(INT(MOD(INT((INT(AN6/2^3))/256),256)/2^5),2)*32+MOD(INT(MOD(INT((MOD(AO21+MOD(MOD(AN6,2^18)*2^14+INT(AN6/2^18),4294967296)-2*AP21,4294967296))/256),256)/2^6),2)*MOD(INT(MOD(INT((INT(AN6/2^3))/256),256)/2^6),2)*64+MOD(INT(MOD(INT((MOD(AO21+MOD(MOD(AN6,2^18)*2^14+INT(AN6/2^18),4294967296)-2*AP21,4294967296))/256),256)/2^7),2)*MOD(INT(MOD(INT((INT(AN6/2^3))/256),256)/2^7),2)*128)*256+(MOD(INT(MOD(INT((MOD(AO21+MOD(MOD(AN6,2^18)*2^14+INT(AN6/2^18),4294967296)-2*AP21,4294967296))/65536),256)/2^0),2)*MOD(INT(MOD(INT((INT(AN6/2^3))/65536),256)/2^0),2)*1+MOD(INT(MOD(INT((MOD(AO21+MOD(MOD(AN6,2^18)*2^14+INT(AN6/2^18),4294967296)-2*AP21,4294967296))/65536),256)/2^1),2)*MOD(INT(MOD(INT((INT(AN6/2^3))/65536),256)/2^1),2)*2+MOD(INT(MOD(INT((MOD(AO21+MOD(MOD(AN6,2^18)*2^14+INT(AN6/2^18),4294967296)-2*AP21,4294967296))/65536),256)/2^2),2)*MOD(INT(MOD(INT((INT(AN6/2^3))/65536),256)/2^2),2)*4+MOD(INT(MOD(INT((MOD(AO21+MOD(MOD(AN6,2^18)*2^14+INT(AN6/2^18),4294967296)-2*AP21,4294967296))/65536),256)/2^3),2)*MOD(INT(MOD(INT((INT(AN6/2^3))/65536),256)/2^3),2)*8+MOD(INT(MOD(INT((MOD(AO21+MOD(MOD(AN6,2^18)*2^14+INT(AN6/2^18),4294967296)-2*AP21,4294967296))/65536),256)/2^4),2)*MOD(INT(MOD(INT((INT(AN6/2^3))/65536),256)/2^4),2)*16+MOD(INT(MOD(INT((MOD(AO21+MOD(MOD(AN6,2^18)*2^14+INT(AN6/2^18),4294967296)-2*AP21,4294967296))/65536),256)/2^5),2)*MOD(INT(MOD(INT((INT(AN6/2^3))/65536),256)/2^5),2)*32+MOD(INT(MOD(INT((MOD(AO21+MOD(MOD(AN6,2^18)*2^14+INT(AN6/2^18),4294967296)-2*AP21,4294967296))/65536),256)/2^6),2)*MOD(INT(MOD(INT((INT(AN6/2^3))/65536),256)/2^6),2)*64+MOD(INT(MOD(INT((MOD(AO21+MOD(MOD(AN6,2^18)*2^14+INT(AN6/2^18),4294967296)-2*AP21,4294967296))/65536),256)/2^7),2)*MOD(INT(MOD(INT((INT(AN6/2^3))/65536),256)/2^7),2)*128)*65536+(MOD(INT(MOD(INT((MOD(AO21+MOD(MOD(AN6,2^18)*2^14+INT(AN6/2^18),4294967296)-2*AP21,4294967296))/16777216),256)/2^0),2)*MOD(INT(MOD(INT((INT(AN6/2^3))/16777216),256)/2^0),2)*1+MOD(INT(MOD(INT((MOD(AO21+MOD(MOD(AN6,2^18)*2^14+INT(AN6/2^18),4294967296)-2*AP21,4294967296))/16777216),256)/2^1),2)*MOD(INT(MOD(INT((INT(AN6/2^3))/16777216),256)/2^1),2)*2+MOD(INT(MOD(INT((MOD(AO21+MOD(MOD(AN6,2^18)*2^14+INT(AN6/2^18),4294967296)-2*AP21,4294967296))/16777216),256)/2^2),2)*MOD(INT(MOD(INT((INT(AN6/2^3))/16777216),256)/2^2),2)*4+MOD(INT(MOD(INT((MOD(AO21+MOD(MOD(AN6,2^18)*2^14+INT(AN6/2^18),4294967296)-2*AP21,4294967296))/16777216),256)/2^3),2)*MOD(INT(MOD(INT((INT(AN6/2^3))/16777216),256)/2^3),2)*8+MOD(INT(MOD(INT((MOD(AO21+MOD(MOD(AN6,2^18)*2^14+INT(AN6/2^18),4294967296)-2*AP21,4294967296))/16777216),256)/2^4),2)*MOD(INT(MOD(INT((INT(AN6/2^3))/16777216),256)/2^4),2)*16+MOD(INT(MOD(INT((MOD(AO21+MOD(MOD(AN6,2^18)*2^14+INT(AN6/2^18),4294967296)-2*AP21,4294967296))/16777216),256)/2^5),2)*MOD(INT(MOD(INT((INT(AN6/2^3))/16777216),256)/2^5),2)*32+MOD(INT(MOD(INT((MOD(AO21+MOD(MOD(AN6,2^18)*2^14+INT(AN6/2^18),4294967296)-2*AP21,4294967296))/16777216),256)/2^6),2)*MOD(INT(MOD(INT((INT(AN6/2^3))/16777216),256)/2^6),2)*64+MOD(INT(MOD(INT((MOD(AO21+MOD(MOD(AN6,2^18)*2^14+INT(AN6/2^18),4294967296)-2*AP21,4294967296))/16777216),256)/2^7),2)*MOD(INT(MOD(INT((INT(AN6/2^3))/16777216),256)/2^7),2)*128)*16777216),4294967296)</f>
        <v>221191136</v>
      </c>
      <c r="AR21" s="32">
        <f t="shared" ref="AR21:AR68" si="33">MOD(MOD(AN19,2^17)*2^15+INT(AN19/2^17),4294967296)</f>
        <v>0</v>
      </c>
      <c r="AS21" s="32">
        <f t="shared" ref="AS21:AS68" si="34">MOD(MOD(AN19,2^19)*2^13+INT(AN19/2^19),4294967296)</f>
        <v>0</v>
      </c>
      <c r="AT21" s="32">
        <f t="shared" ref="AT21:AT68" si="35">((MOD(INT(MOD(INT((AR21)/1),256)/2^0),2)*MOD(INT(MOD(INT((AS21)/1),256)/2^0),2)*1+MOD(INT(MOD(INT((AR21)/1),256)/2^1),2)*MOD(INT(MOD(INT((AS21)/1),256)/2^1),2)*2+MOD(INT(MOD(INT((AR21)/1),256)/2^2),2)*MOD(INT(MOD(INT((AS21)/1),256)/2^2),2)*4+MOD(INT(MOD(INT((AR21)/1),256)/2^3),2)*MOD(INT(MOD(INT((AS21)/1),256)/2^3),2)*8+MOD(INT(MOD(INT((AR21)/1),256)/2^4),2)*MOD(INT(MOD(INT((AS21)/1),256)/2^4),2)*16+MOD(INT(MOD(INT((AR21)/1),256)/2^5),2)*MOD(INT(MOD(INT((AS21)/1),256)/2^5),2)*32+MOD(INT(MOD(INT((AR21)/1),256)/2^6),2)*MOD(INT(MOD(INT((AS21)/1),256)/2^6),2)*64+MOD(INT(MOD(INT((AR21)/1),256)/2^7),2)*MOD(INT(MOD(INT((AS21)/1),256)/2^7),2)*128)*1+(MOD(INT(MOD(INT((AR21)/256),256)/2^0),2)*MOD(INT(MOD(INT((AS21)/256),256)/2^0),2)*1+MOD(INT(MOD(INT((AR21)/256),256)/2^1),2)*MOD(INT(MOD(INT((AS21)/256),256)/2^1),2)*2+MOD(INT(MOD(INT((AR21)/256),256)/2^2),2)*MOD(INT(MOD(INT((AS21)/256),256)/2^2),2)*4+MOD(INT(MOD(INT((AR21)/256),256)/2^3),2)*MOD(INT(MOD(INT((AS21)/256),256)/2^3),2)*8+MOD(INT(MOD(INT((AR21)/256),256)/2^4),2)*MOD(INT(MOD(INT((AS21)/256),256)/2^4),2)*16+MOD(INT(MOD(INT((AR21)/256),256)/2^5),2)*MOD(INT(MOD(INT((AS21)/256),256)/2^5),2)*32+MOD(INT(MOD(INT((AR21)/256),256)/2^6),2)*MOD(INT(MOD(INT((AS21)/256),256)/2^6),2)*64+MOD(INT(MOD(INT((AR21)/256),256)/2^7),2)*MOD(INT(MOD(INT((AS21)/256),256)/2^7),2)*128)*256+(MOD(INT(MOD(INT((AR21)/65536),256)/2^0),2)*MOD(INT(MOD(INT((AS21)/65536),256)/2^0),2)*1+MOD(INT(MOD(INT((AR21)/65536),256)/2^1),2)*MOD(INT(MOD(INT((AS21)/65536),256)/2^1),2)*2+MOD(INT(MOD(INT((AR21)/65536),256)/2^2),2)*MOD(INT(MOD(INT((AS21)/65536),256)/2^2),2)*4+MOD(INT(MOD(INT((AR21)/65536),256)/2^3),2)*MOD(INT(MOD(INT((AS21)/65536),256)/2^3),2)*8+MOD(INT(MOD(INT((AR21)/65536),256)/2^4),2)*MOD(INT(MOD(INT((AS21)/65536),256)/2^4),2)*16+MOD(INT(MOD(INT((AR21)/65536),256)/2^5),2)*MOD(INT(MOD(INT((AS21)/65536),256)/2^5),2)*32+MOD(INT(MOD(INT((AR21)/65536),256)/2^6),2)*MOD(INT(MOD(INT((AS21)/65536),256)/2^6),2)*64+MOD(INT(MOD(INT((AR21)/65536),256)/2^7),2)*MOD(INT(MOD(INT((AS21)/65536),256)/2^7),2)*128)*65536+(MOD(INT(MOD(INT((AR21)/16777216),256)/2^0),2)*MOD(INT(MOD(INT((AS21)/16777216),256)/2^0),2)*1+MOD(INT(MOD(INT((AR21)/16777216),256)/2^1),2)*MOD(INT(MOD(INT((AS21)/16777216),256)/2^1),2)*2+MOD(INT(MOD(INT((AR21)/16777216),256)/2^2),2)*MOD(INT(MOD(INT((AS21)/16777216),256)/2^2),2)*4+MOD(INT(MOD(INT((AR21)/16777216),256)/2^3),2)*MOD(INT(MOD(INT((AS21)/16777216),256)/2^3),2)*8+MOD(INT(MOD(INT((AR21)/16777216),256)/2^4),2)*MOD(INT(MOD(INT((AS21)/16777216),256)/2^4),2)*16+MOD(INT(MOD(INT((AR21)/16777216),256)/2^5),2)*MOD(INT(MOD(INT((AS21)/16777216),256)/2^5),2)*32+MOD(INT(MOD(INT((AR21)/16777216),256)/2^6),2)*MOD(INT(MOD(INT((AS21)/16777216),256)/2^6),2)*64+MOD(INT(MOD(INT((AR21)/16777216),256)/2^7),2)*MOD(INT(MOD(INT((AS21)/16777216),256)/2^7),2)*128)*16777216)</f>
        <v>0</v>
      </c>
      <c r="AU21" s="32">
        <f t="shared" ref="AU21:AU68" si="36">MOD(MOD(AR21+AS21-2*AT21,4294967296)+INT(AN19/2^10)-2*((MOD(INT(MOD(INT((MOD(AR21+AS21-2*AT21,4294967296))/1),256)/2^0),2)*MOD(INT(MOD(INT((INT(AN19/2^10))/1),256)/2^0),2)*1+MOD(INT(MOD(INT((MOD(AR21+AS21-2*AT21,4294967296))/1),256)/2^1),2)*MOD(INT(MOD(INT((INT(AN19/2^10))/1),256)/2^1),2)*2+MOD(INT(MOD(INT((MOD(AR21+AS21-2*AT21,4294967296))/1),256)/2^2),2)*MOD(INT(MOD(INT((INT(AN19/2^10))/1),256)/2^2),2)*4+MOD(INT(MOD(INT((MOD(AR21+AS21-2*AT21,4294967296))/1),256)/2^3),2)*MOD(INT(MOD(INT((INT(AN19/2^10))/1),256)/2^3),2)*8+MOD(INT(MOD(INT((MOD(AR21+AS21-2*AT21,4294967296))/1),256)/2^4),2)*MOD(INT(MOD(INT((INT(AN19/2^10))/1),256)/2^4),2)*16+MOD(INT(MOD(INT((MOD(AR21+AS21-2*AT21,4294967296))/1),256)/2^5),2)*MOD(INT(MOD(INT((INT(AN19/2^10))/1),256)/2^5),2)*32+MOD(INT(MOD(INT((MOD(AR21+AS21-2*AT21,4294967296))/1),256)/2^6),2)*MOD(INT(MOD(INT((INT(AN19/2^10))/1),256)/2^6),2)*64+MOD(INT(MOD(INT((MOD(AR21+AS21-2*AT21,4294967296))/1),256)/2^7),2)*MOD(INT(MOD(INT((INT(AN19/2^10))/1),256)/2^7),2)*128)*1+(MOD(INT(MOD(INT((MOD(AR21+AS21-2*AT21,4294967296))/256),256)/2^0),2)*MOD(INT(MOD(INT((INT(AN19/2^10))/256),256)/2^0),2)*1+MOD(INT(MOD(INT((MOD(AR21+AS21-2*AT21,4294967296))/256),256)/2^1),2)*MOD(INT(MOD(INT((INT(AN19/2^10))/256),256)/2^1),2)*2+MOD(INT(MOD(INT((MOD(AR21+AS21-2*AT21,4294967296))/256),256)/2^2),2)*MOD(INT(MOD(INT((INT(AN19/2^10))/256),256)/2^2),2)*4+MOD(INT(MOD(INT((MOD(AR21+AS21-2*AT21,4294967296))/256),256)/2^3),2)*MOD(INT(MOD(INT((INT(AN19/2^10))/256),256)/2^3),2)*8+MOD(INT(MOD(INT((MOD(AR21+AS21-2*AT21,4294967296))/256),256)/2^4),2)*MOD(INT(MOD(INT((INT(AN19/2^10))/256),256)/2^4),2)*16+MOD(INT(MOD(INT((MOD(AR21+AS21-2*AT21,4294967296))/256),256)/2^5),2)*MOD(INT(MOD(INT((INT(AN19/2^10))/256),256)/2^5),2)*32+MOD(INT(MOD(INT((MOD(AR21+AS21-2*AT21,4294967296))/256),256)/2^6),2)*MOD(INT(MOD(INT((INT(AN19/2^10))/256),256)/2^6),2)*64+MOD(INT(MOD(INT((MOD(AR21+AS21-2*AT21,4294967296))/256),256)/2^7),2)*MOD(INT(MOD(INT((INT(AN19/2^10))/256),256)/2^7),2)*128)*256+(MOD(INT(MOD(INT((MOD(AR21+AS21-2*AT21,4294967296))/65536),256)/2^0),2)*MOD(INT(MOD(INT((INT(AN19/2^10))/65536),256)/2^0),2)*1+MOD(INT(MOD(INT((MOD(AR21+AS21-2*AT21,4294967296))/65536),256)/2^1),2)*MOD(INT(MOD(INT((INT(AN19/2^10))/65536),256)/2^1),2)*2+MOD(INT(MOD(INT((MOD(AR21+AS21-2*AT21,4294967296))/65536),256)/2^2),2)*MOD(INT(MOD(INT((INT(AN19/2^10))/65536),256)/2^2),2)*4+MOD(INT(MOD(INT((MOD(AR21+AS21-2*AT21,4294967296))/65536),256)/2^3),2)*MOD(INT(MOD(INT((INT(AN19/2^10))/65536),256)/2^3),2)*8+MOD(INT(MOD(INT((MOD(AR21+AS21-2*AT21,4294967296))/65536),256)/2^4),2)*MOD(INT(MOD(INT((INT(AN19/2^10))/65536),256)/2^4),2)*16+MOD(INT(MOD(INT((MOD(AR21+AS21-2*AT21,4294967296))/65536),256)/2^5),2)*MOD(INT(MOD(INT((INT(AN19/2^10))/65536),256)/2^5),2)*32+MOD(INT(MOD(INT((MOD(AR21+AS21-2*AT21,4294967296))/65536),256)/2^6),2)*MOD(INT(MOD(INT((INT(AN19/2^10))/65536),256)/2^6),2)*64+MOD(INT(MOD(INT((MOD(AR21+AS21-2*AT21,4294967296))/65536),256)/2^7),2)*MOD(INT(MOD(INT((INT(AN19/2^10))/65536),256)/2^7),2)*128)*65536+(MOD(INT(MOD(INT((MOD(AR21+AS21-2*AT21,4294967296))/16777216),256)/2^0),2)*MOD(INT(MOD(INT((INT(AN19/2^10))/16777216),256)/2^0),2)*1+MOD(INT(MOD(INT((MOD(AR21+AS21-2*AT21,4294967296))/16777216),256)/2^1),2)*MOD(INT(MOD(INT((INT(AN19/2^10))/16777216),256)/2^1),2)*2+MOD(INT(MOD(INT((MOD(AR21+AS21-2*AT21,4294967296))/16777216),256)/2^2),2)*MOD(INT(MOD(INT((INT(AN19/2^10))/16777216),256)/2^2),2)*4+MOD(INT(MOD(INT((MOD(AR21+AS21-2*AT21,4294967296))/16777216),256)/2^3),2)*MOD(INT(MOD(INT((INT(AN19/2^10))/16777216),256)/2^3),2)*8+MOD(INT(MOD(INT((MOD(AR21+AS21-2*AT21,4294967296))/16777216),256)/2^4),2)*MOD(INT(MOD(INT((INT(AN19/2^10))/16777216),256)/2^4),2)*16+MOD(INT(MOD(INT((MOD(AR21+AS21-2*AT21,4294967296))/16777216),256)/2^5),2)*MOD(INT(MOD(INT((INT(AN19/2^10))/16777216),256)/2^5),2)*32+MOD(INT(MOD(INT((MOD(AR21+AS21-2*AT21,4294967296))/16777216),256)/2^6),2)*MOD(INT(MOD(INT((INT(AN19/2^10))/16777216),256)/2^6),2)*64+MOD(INT(MOD(INT((MOD(AR21+AS21-2*AT21,4294967296))/16777216),256)/2^7),2)*MOD(INT(MOD(INT((INT(AN19/2^10))/16777216),256)/2^7),2)*128)*16777216),4294967296)</f>
        <v>0</v>
      </c>
    </row>
    <row r="22" spans="2:47" ht="13.5" customHeight="1" x14ac:dyDescent="0.25">
      <c r="B22" s="33">
        <v>17</v>
      </c>
      <c r="C22" s="34">
        <f t="shared" si="0"/>
        <v>2573310526</v>
      </c>
      <c r="D22" s="34">
        <f t="shared" si="1"/>
        <v>1438486882</v>
      </c>
      <c r="E22" s="34">
        <f t="shared" si="1"/>
        <v>2373480070</v>
      </c>
      <c r="F22" s="34">
        <f t="shared" si="1"/>
        <v>2571409171</v>
      </c>
      <c r="G22" s="34">
        <f t="shared" si="2"/>
        <v>1285717821</v>
      </c>
      <c r="H22" s="34">
        <f t="shared" si="3"/>
        <v>3991488677</v>
      </c>
      <c r="I22" s="34">
        <f t="shared" si="3"/>
        <v>2270398595</v>
      </c>
      <c r="J22" s="34">
        <f t="shared" si="3"/>
        <v>1629398990</v>
      </c>
      <c r="K22" s="30">
        <f t="shared" si="4"/>
        <v>2235631745</v>
      </c>
      <c r="L22" s="30">
        <f t="shared" si="5"/>
        <v>1484618</v>
      </c>
      <c r="M22" s="30">
        <f t="shared" si="6"/>
        <v>2237116363</v>
      </c>
      <c r="N22" s="30">
        <f t="shared" si="7"/>
        <v>87556098</v>
      </c>
      <c r="O22" s="30">
        <f t="shared" si="8"/>
        <v>285511938</v>
      </c>
      <c r="P22" s="30">
        <f t="shared" si="9"/>
        <v>2302674434</v>
      </c>
      <c r="Q22" s="30">
        <f t="shared" si="10"/>
        <v>16777218</v>
      </c>
      <c r="R22" s="30">
        <f t="shared" si="11"/>
        <v>2642188034</v>
      </c>
      <c r="S22" s="30">
        <f t="shared" si="12"/>
        <v>2545394978</v>
      </c>
      <c r="T22" s="30">
        <f t="shared" si="13"/>
        <v>347979049</v>
      </c>
      <c r="U22" s="30">
        <f t="shared" si="14"/>
        <v>4104409846</v>
      </c>
      <c r="V22" s="30">
        <f t="shared" si="15"/>
        <v>347448608</v>
      </c>
      <c r="W22" s="30">
        <f t="shared" si="16"/>
        <v>2198476811</v>
      </c>
      <c r="X22" s="30">
        <f t="shared" si="17"/>
        <v>2147487746</v>
      </c>
      <c r="Y22" s="30">
        <f t="shared" si="18"/>
        <v>2007911165</v>
      </c>
      <c r="Z22" s="30">
        <f t="shared" si="19"/>
        <v>2507105368</v>
      </c>
      <c r="AA22" s="30">
        <f t="shared" si="20"/>
        <v>2333257196</v>
      </c>
      <c r="AB22" s="30">
        <f t="shared" si="21"/>
        <v>4131752278</v>
      </c>
      <c r="AC22" s="30">
        <f t="shared" si="22"/>
        <v>2164401224</v>
      </c>
      <c r="AD22" s="30">
        <f t="shared" si="23"/>
        <v>511560116</v>
      </c>
      <c r="AE22" s="30">
        <f t="shared" si="24"/>
        <v>373655828</v>
      </c>
      <c r="AF22" s="30">
        <f t="shared" si="25"/>
        <v>3896000738</v>
      </c>
      <c r="AG22" s="34">
        <f>MOD(J21+Y22+M22+'📦 SHA-256 Constants'!C20+AN21,4294967296)</f>
        <v>330089050</v>
      </c>
      <c r="AH22" s="34">
        <f t="shared" si="26"/>
        <v>2243221476</v>
      </c>
      <c r="AI22" s="30">
        <f t="shared" si="27"/>
        <v>1972668492</v>
      </c>
      <c r="AJ22" s="30">
        <f>'📦 SHA-256 Constants'!C20</f>
        <v>3835390401</v>
      </c>
      <c r="AK22" s="25" t="s">
        <v>180</v>
      </c>
      <c r="AM22" s="26">
        <v>17</v>
      </c>
      <c r="AN22" s="31">
        <f t="shared" si="29"/>
        <v>1871773696</v>
      </c>
      <c r="AO22" s="32">
        <f t="shared" si="30"/>
        <v>0</v>
      </c>
      <c r="AP22" s="32">
        <f t="shared" si="31"/>
        <v>0</v>
      </c>
      <c r="AQ22" s="32">
        <f t="shared" si="32"/>
        <v>0</v>
      </c>
      <c r="AR22" s="32">
        <f t="shared" si="33"/>
        <v>1310720</v>
      </c>
      <c r="AS22" s="32">
        <f t="shared" si="34"/>
        <v>327680</v>
      </c>
      <c r="AT22" s="32">
        <f t="shared" si="35"/>
        <v>262144</v>
      </c>
      <c r="AU22" s="32">
        <f t="shared" si="36"/>
        <v>1114112</v>
      </c>
    </row>
    <row r="23" spans="2:47" ht="13.5" customHeight="1" x14ac:dyDescent="0.25">
      <c r="B23" s="33">
        <v>18</v>
      </c>
      <c r="C23" s="34">
        <f t="shared" si="0"/>
        <v>1665281308</v>
      </c>
      <c r="D23" s="34">
        <f t="shared" si="1"/>
        <v>2573310526</v>
      </c>
      <c r="E23" s="34">
        <f t="shared" si="1"/>
        <v>1438486882</v>
      </c>
      <c r="F23" s="34">
        <f t="shared" si="1"/>
        <v>2373480070</v>
      </c>
      <c r="G23" s="34">
        <f t="shared" si="2"/>
        <v>1833488931</v>
      </c>
      <c r="H23" s="34">
        <f t="shared" si="3"/>
        <v>1285717821</v>
      </c>
      <c r="I23" s="34">
        <f t="shared" si="3"/>
        <v>3991488677</v>
      </c>
      <c r="J23" s="34">
        <f t="shared" si="3"/>
        <v>2270398595</v>
      </c>
      <c r="K23" s="30">
        <f t="shared" si="4"/>
        <v>1285572645</v>
      </c>
      <c r="L23" s="30">
        <f t="shared" si="5"/>
        <v>2203156610</v>
      </c>
      <c r="M23" s="30">
        <f t="shared" si="6"/>
        <v>3488729255</v>
      </c>
      <c r="N23" s="30">
        <f t="shared" si="7"/>
        <v>287412258</v>
      </c>
      <c r="O23" s="30">
        <f t="shared" si="8"/>
        <v>2304772614</v>
      </c>
      <c r="P23" s="30">
        <f t="shared" si="9"/>
        <v>87556098</v>
      </c>
      <c r="Q23" s="30">
        <f t="shared" si="10"/>
        <v>18874370</v>
      </c>
      <c r="R23" s="30">
        <f t="shared" si="11"/>
        <v>2641992230</v>
      </c>
      <c r="S23" s="30">
        <f t="shared" si="12"/>
        <v>4113730044</v>
      </c>
      <c r="T23" s="30">
        <f t="shared" si="13"/>
        <v>3886650447</v>
      </c>
      <c r="U23" s="30">
        <f t="shared" si="14"/>
        <v>1363123878</v>
      </c>
      <c r="V23" s="30">
        <f t="shared" si="15"/>
        <v>3844112460</v>
      </c>
      <c r="W23" s="30">
        <f t="shared" si="16"/>
        <v>312155571</v>
      </c>
      <c r="X23" s="30">
        <f t="shared" si="17"/>
        <v>270212258</v>
      </c>
      <c r="Y23" s="30">
        <f t="shared" si="18"/>
        <v>1134854933</v>
      </c>
      <c r="Z23" s="30">
        <f t="shared" si="19"/>
        <v>2790811279</v>
      </c>
      <c r="AA23" s="30">
        <f t="shared" si="20"/>
        <v>3522480908</v>
      </c>
      <c r="AB23" s="30">
        <f t="shared" si="21"/>
        <v>2255026789</v>
      </c>
      <c r="AC23" s="30">
        <f t="shared" si="22"/>
        <v>2152743436</v>
      </c>
      <c r="AD23" s="30">
        <f t="shared" si="23"/>
        <v>2007805315</v>
      </c>
      <c r="AE23" s="30">
        <f t="shared" si="24"/>
        <v>103327745</v>
      </c>
      <c r="AF23" s="30">
        <f t="shared" si="25"/>
        <v>4056176614</v>
      </c>
      <c r="AG23" s="34">
        <f>MOD(J22+Y23+M23+'📦 SHA-256 Constants'!C21+AN22,4294967296)</f>
        <v>3557047056</v>
      </c>
      <c r="AH23" s="34">
        <f t="shared" si="26"/>
        <v>2403201548</v>
      </c>
      <c r="AI23" s="30">
        <f t="shared" si="27"/>
        <v>1871773696</v>
      </c>
      <c r="AJ23" s="30">
        <f>'📦 SHA-256 Constants'!C21</f>
        <v>4022224774</v>
      </c>
      <c r="AK23" s="25" t="s">
        <v>181</v>
      </c>
      <c r="AM23" s="26">
        <v>18</v>
      </c>
      <c r="AN23" s="31">
        <f t="shared" si="29"/>
        <v>3576877402</v>
      </c>
      <c r="AO23" s="32">
        <f t="shared" si="30"/>
        <v>0</v>
      </c>
      <c r="AP23" s="32">
        <f t="shared" si="31"/>
        <v>0</v>
      </c>
      <c r="AQ23" s="32">
        <f t="shared" si="32"/>
        <v>0</v>
      </c>
      <c r="AR23" s="32">
        <f t="shared" si="33"/>
        <v>1143356106</v>
      </c>
      <c r="AS23" s="32">
        <f t="shared" si="34"/>
        <v>2433322674</v>
      </c>
      <c r="AT23" s="32">
        <f t="shared" si="35"/>
        <v>2690</v>
      </c>
      <c r="AU23" s="32">
        <f t="shared" si="36"/>
        <v>3576877402</v>
      </c>
    </row>
    <row r="24" spans="2:47" ht="13.5" customHeight="1" x14ac:dyDescent="0.25">
      <c r="B24" s="33">
        <v>19</v>
      </c>
      <c r="C24" s="34">
        <f t="shared" si="0"/>
        <v>1887725637</v>
      </c>
      <c r="D24" s="34">
        <f t="shared" si="1"/>
        <v>1665281308</v>
      </c>
      <c r="E24" s="34">
        <f t="shared" si="1"/>
        <v>2573310526</v>
      </c>
      <c r="F24" s="34">
        <f t="shared" si="1"/>
        <v>1438486882</v>
      </c>
      <c r="G24" s="34">
        <f t="shared" si="2"/>
        <v>873684146</v>
      </c>
      <c r="H24" s="34">
        <f t="shared" si="3"/>
        <v>1833488931</v>
      </c>
      <c r="I24" s="34">
        <f t="shared" si="3"/>
        <v>1285717821</v>
      </c>
      <c r="J24" s="34">
        <f t="shared" si="3"/>
        <v>3991488677</v>
      </c>
      <c r="K24" s="30">
        <f t="shared" si="4"/>
        <v>1275089441</v>
      </c>
      <c r="L24" s="30">
        <f t="shared" si="5"/>
        <v>2158037124</v>
      </c>
      <c r="M24" s="30">
        <f t="shared" si="6"/>
        <v>3433126565</v>
      </c>
      <c r="N24" s="30">
        <f t="shared" si="7"/>
        <v>20973596</v>
      </c>
      <c r="O24" s="30">
        <f t="shared" si="8"/>
        <v>1090519296</v>
      </c>
      <c r="P24" s="30">
        <f t="shared" si="9"/>
        <v>287412258</v>
      </c>
      <c r="Q24" s="30">
        <f t="shared" si="10"/>
        <v>16777216</v>
      </c>
      <c r="R24" s="30">
        <f t="shared" si="11"/>
        <v>1365350718</v>
      </c>
      <c r="S24" s="30">
        <f t="shared" si="12"/>
        <v>2377458504</v>
      </c>
      <c r="T24" s="30">
        <f t="shared" si="13"/>
        <v>1148037402</v>
      </c>
      <c r="U24" s="30">
        <f t="shared" si="14"/>
        <v>2758349238</v>
      </c>
      <c r="V24" s="30">
        <f t="shared" si="15"/>
        <v>69542152</v>
      </c>
      <c r="W24" s="30">
        <f t="shared" si="16"/>
        <v>3386411602</v>
      </c>
      <c r="X24" s="30">
        <f t="shared" si="17"/>
        <v>2152202258</v>
      </c>
      <c r="Y24" s="30">
        <f t="shared" si="18"/>
        <v>1840356324</v>
      </c>
      <c r="Z24" s="30">
        <f t="shared" si="19"/>
        <v>416320327</v>
      </c>
      <c r="AA24" s="30">
        <f t="shared" si="20"/>
        <v>1759713809</v>
      </c>
      <c r="AB24" s="30">
        <f t="shared" si="21"/>
        <v>146043277</v>
      </c>
      <c r="AC24" s="30">
        <f t="shared" si="22"/>
        <v>146803201</v>
      </c>
      <c r="AD24" s="30">
        <f t="shared" si="23"/>
        <v>1882427734</v>
      </c>
      <c r="AE24" s="30">
        <f t="shared" si="24"/>
        <v>3150084</v>
      </c>
      <c r="AF24" s="30">
        <f t="shared" si="25"/>
        <v>2022170843</v>
      </c>
      <c r="AG24" s="34">
        <f>MOD(J23+Y24+M24+'📦 SHA-256 Constants'!C22+AN23,4294967296)</f>
        <v>2795171372</v>
      </c>
      <c r="AH24" s="34">
        <f t="shared" si="26"/>
        <v>3387521561</v>
      </c>
      <c r="AI24" s="30">
        <f t="shared" si="27"/>
        <v>3576877402</v>
      </c>
      <c r="AJ24" s="30">
        <f>'📦 SHA-256 Constants'!C22</f>
        <v>264347078</v>
      </c>
      <c r="AK24" s="25" t="s">
        <v>182</v>
      </c>
      <c r="AM24" s="26">
        <v>19</v>
      </c>
      <c r="AN24" s="31">
        <f t="shared" si="29"/>
        <v>2686180986</v>
      </c>
      <c r="AO24" s="32">
        <f t="shared" si="30"/>
        <v>0</v>
      </c>
      <c r="AP24" s="32">
        <f t="shared" si="31"/>
        <v>0</v>
      </c>
      <c r="AQ24" s="32">
        <f t="shared" si="32"/>
        <v>0</v>
      </c>
      <c r="AR24" s="32">
        <f t="shared" si="33"/>
        <v>2147497928</v>
      </c>
      <c r="AS24" s="32">
        <f t="shared" si="34"/>
        <v>536874482</v>
      </c>
      <c r="AT24" s="32">
        <f t="shared" si="35"/>
        <v>1472</v>
      </c>
      <c r="AU24" s="32">
        <f t="shared" si="36"/>
        <v>2686180986</v>
      </c>
    </row>
    <row r="25" spans="2:47" ht="13.5" customHeight="1" x14ac:dyDescent="0.25">
      <c r="B25" s="33">
        <v>20</v>
      </c>
      <c r="C25" s="34">
        <f t="shared" si="0"/>
        <v>4141254185</v>
      </c>
      <c r="D25" s="34">
        <f t="shared" si="1"/>
        <v>1887725637</v>
      </c>
      <c r="E25" s="34">
        <f t="shared" si="1"/>
        <v>1665281308</v>
      </c>
      <c r="F25" s="34">
        <f t="shared" si="1"/>
        <v>2573310526</v>
      </c>
      <c r="G25" s="34">
        <f t="shared" si="2"/>
        <v>3416810367</v>
      </c>
      <c r="H25" s="34">
        <f t="shared" si="3"/>
        <v>873684146</v>
      </c>
      <c r="I25" s="34">
        <f t="shared" si="3"/>
        <v>1833488931</v>
      </c>
      <c r="J25" s="34">
        <f t="shared" si="3"/>
        <v>1285717821</v>
      </c>
      <c r="K25" s="30">
        <f t="shared" si="4"/>
        <v>604000290</v>
      </c>
      <c r="L25" s="30">
        <f t="shared" si="5"/>
        <v>1218454285</v>
      </c>
      <c r="M25" s="30">
        <f t="shared" si="6"/>
        <v>1822454575</v>
      </c>
      <c r="N25" s="30">
        <f t="shared" si="7"/>
        <v>1610622980</v>
      </c>
      <c r="O25" s="30">
        <f t="shared" si="8"/>
        <v>268437508</v>
      </c>
      <c r="P25" s="30">
        <f t="shared" si="9"/>
        <v>20973596</v>
      </c>
      <c r="Q25" s="30">
        <f t="shared" si="10"/>
        <v>2052</v>
      </c>
      <c r="R25" s="30">
        <f t="shared" si="11"/>
        <v>1900029980</v>
      </c>
      <c r="S25" s="30">
        <f t="shared" si="12"/>
        <v>3369094514</v>
      </c>
      <c r="T25" s="30">
        <f t="shared" si="13"/>
        <v>2521203307</v>
      </c>
      <c r="U25" s="30">
        <f t="shared" si="14"/>
        <v>162421018</v>
      </c>
      <c r="V25" s="30">
        <f t="shared" si="15"/>
        <v>2151678050</v>
      </c>
      <c r="W25" s="30">
        <f t="shared" si="16"/>
        <v>1586941721</v>
      </c>
      <c r="X25" s="30">
        <f t="shared" si="17"/>
        <v>143018264</v>
      </c>
      <c r="Y25" s="30">
        <f t="shared" si="18"/>
        <v>1463326211</v>
      </c>
      <c r="Z25" s="30">
        <f t="shared" si="19"/>
        <v>1545673233</v>
      </c>
      <c r="AA25" s="30">
        <f t="shared" si="20"/>
        <v>1110148131</v>
      </c>
      <c r="AB25" s="30">
        <f t="shared" si="21"/>
        <v>295769538</v>
      </c>
      <c r="AC25" s="30">
        <f t="shared" si="22"/>
        <v>1075904513</v>
      </c>
      <c r="AD25" s="30">
        <f t="shared" si="23"/>
        <v>504012338</v>
      </c>
      <c r="AE25" s="30">
        <f t="shared" si="24"/>
        <v>268440578</v>
      </c>
      <c r="AF25" s="30">
        <f t="shared" si="25"/>
        <v>262900720</v>
      </c>
      <c r="AG25" s="34">
        <f>MOD(J24+Y25+M25+'📦 SHA-256 Constants'!C23+AN24,4294967296)</f>
        <v>1978323485</v>
      </c>
      <c r="AH25" s="34">
        <f t="shared" si="26"/>
        <v>2162930700</v>
      </c>
      <c r="AI25" s="30">
        <f t="shared" si="27"/>
        <v>2686180986</v>
      </c>
      <c r="AJ25" s="30">
        <f>'📦 SHA-256 Constants'!C23</f>
        <v>604807628</v>
      </c>
      <c r="AK25" s="25" t="s">
        <v>183</v>
      </c>
      <c r="AM25" s="26">
        <v>20</v>
      </c>
      <c r="AN25" s="31">
        <f t="shared" si="29"/>
        <v>850623627</v>
      </c>
      <c r="AO25" s="32">
        <f t="shared" si="30"/>
        <v>0</v>
      </c>
      <c r="AP25" s="32">
        <f t="shared" si="31"/>
        <v>0</v>
      </c>
      <c r="AQ25" s="32">
        <f t="shared" si="32"/>
        <v>0</v>
      </c>
      <c r="AR25" s="32">
        <f t="shared" si="33"/>
        <v>1756195481</v>
      </c>
      <c r="AS25" s="32">
        <f t="shared" si="34"/>
        <v>1512790694</v>
      </c>
      <c r="AT25" s="32">
        <f t="shared" si="35"/>
        <v>1210665600</v>
      </c>
      <c r="AU25" s="32">
        <f t="shared" si="36"/>
        <v>850623627</v>
      </c>
    </row>
    <row r="26" spans="2:47" ht="13.5" customHeight="1" x14ac:dyDescent="0.25">
      <c r="B26" s="33">
        <v>21</v>
      </c>
      <c r="C26" s="34">
        <f t="shared" si="0"/>
        <v>2685354175</v>
      </c>
      <c r="D26" s="34">
        <f t="shared" ref="D26:F45" si="37">C25</f>
        <v>4141254185</v>
      </c>
      <c r="E26" s="34">
        <f t="shared" si="37"/>
        <v>1887725637</v>
      </c>
      <c r="F26" s="34">
        <f t="shared" si="37"/>
        <v>1665281308</v>
      </c>
      <c r="G26" s="34">
        <f t="shared" si="2"/>
        <v>2949119499</v>
      </c>
      <c r="H26" s="34">
        <f t="shared" ref="H26:J45" si="38">G25</f>
        <v>3416810367</v>
      </c>
      <c r="I26" s="34">
        <f t="shared" si="38"/>
        <v>873684146</v>
      </c>
      <c r="J26" s="34">
        <f t="shared" si="38"/>
        <v>1833488931</v>
      </c>
      <c r="K26" s="30">
        <f t="shared" si="4"/>
        <v>16434</v>
      </c>
      <c r="L26" s="30">
        <f t="shared" si="5"/>
        <v>608210944</v>
      </c>
      <c r="M26" s="30">
        <f t="shared" si="6"/>
        <v>608227378</v>
      </c>
      <c r="N26" s="30">
        <f t="shared" si="7"/>
        <v>1887698945</v>
      </c>
      <c r="O26" s="30">
        <f t="shared" si="8"/>
        <v>1648493576</v>
      </c>
      <c r="P26" s="30">
        <f t="shared" si="9"/>
        <v>1610622980</v>
      </c>
      <c r="Q26" s="30">
        <f t="shared" si="10"/>
        <v>1610612736</v>
      </c>
      <c r="R26" s="30">
        <f t="shared" si="11"/>
        <v>1925590029</v>
      </c>
      <c r="S26" s="30">
        <f t="shared" si="12"/>
        <v>4281246093</v>
      </c>
      <c r="T26" s="30">
        <f t="shared" si="13"/>
        <v>1878619404</v>
      </c>
      <c r="U26" s="30">
        <f t="shared" si="14"/>
        <v>3560030181</v>
      </c>
      <c r="V26" s="30">
        <f t="shared" si="15"/>
        <v>1864900876</v>
      </c>
      <c r="W26" s="30">
        <f t="shared" si="16"/>
        <v>2430063745</v>
      </c>
      <c r="X26" s="30">
        <f t="shared" si="17"/>
        <v>2417071233</v>
      </c>
      <c r="Y26" s="30">
        <f t="shared" si="18"/>
        <v>1155951460</v>
      </c>
      <c r="Z26" s="30">
        <f t="shared" si="19"/>
        <v>2109055370</v>
      </c>
      <c r="AA26" s="30">
        <f t="shared" si="20"/>
        <v>827307700</v>
      </c>
      <c r="AB26" s="30">
        <f t="shared" si="21"/>
        <v>1511565275</v>
      </c>
      <c r="AC26" s="30">
        <f t="shared" si="22"/>
        <v>822452352</v>
      </c>
      <c r="AD26" s="30">
        <f t="shared" si="23"/>
        <v>1291458366</v>
      </c>
      <c r="AE26" s="30">
        <f t="shared" si="24"/>
        <v>1209534234</v>
      </c>
      <c r="AF26" s="30">
        <f t="shared" si="25"/>
        <v>383955173</v>
      </c>
      <c r="AG26" s="34">
        <f>MOD(J25+Y26+M26+'📦 SHA-256 Constants'!C24+AN25,4294967296)</f>
        <v>375808973</v>
      </c>
      <c r="AH26" s="34">
        <f t="shared" si="26"/>
        <v>2309545202</v>
      </c>
      <c r="AI26" s="30">
        <f t="shared" si="27"/>
        <v>850623627</v>
      </c>
      <c r="AJ26" s="30">
        <f>'📦 SHA-256 Constants'!C24</f>
        <v>770255983</v>
      </c>
      <c r="AK26" s="25" t="s">
        <v>184</v>
      </c>
      <c r="AM26" s="26">
        <v>21</v>
      </c>
      <c r="AN26" s="31">
        <f t="shared" si="29"/>
        <v>2497315577</v>
      </c>
      <c r="AO26" s="32">
        <f t="shared" si="30"/>
        <v>0</v>
      </c>
      <c r="AP26" s="32">
        <f t="shared" si="31"/>
        <v>0</v>
      </c>
      <c r="AQ26" s="32">
        <f t="shared" si="32"/>
        <v>0</v>
      </c>
      <c r="AR26" s="32">
        <f t="shared" si="33"/>
        <v>4013772813</v>
      </c>
      <c r="AS26" s="32">
        <f t="shared" si="34"/>
        <v>2077185027</v>
      </c>
      <c r="AT26" s="32">
        <f t="shared" si="35"/>
        <v>1796034561</v>
      </c>
      <c r="AU26" s="32">
        <f t="shared" si="36"/>
        <v>2497315577</v>
      </c>
    </row>
    <row r="27" spans="2:47" ht="13.5" customHeight="1" x14ac:dyDescent="0.25">
      <c r="B27" s="33">
        <v>22</v>
      </c>
      <c r="C27" s="34">
        <f t="shared" si="0"/>
        <v>3051359827</v>
      </c>
      <c r="D27" s="34">
        <f t="shared" si="37"/>
        <v>2685354175</v>
      </c>
      <c r="E27" s="34">
        <f t="shared" si="37"/>
        <v>4141254185</v>
      </c>
      <c r="F27" s="34">
        <f t="shared" si="37"/>
        <v>1887725637</v>
      </c>
      <c r="G27" s="34">
        <f t="shared" si="2"/>
        <v>1470090349</v>
      </c>
      <c r="H27" s="34">
        <f t="shared" si="38"/>
        <v>2949119499</v>
      </c>
      <c r="I27" s="34">
        <f t="shared" si="38"/>
        <v>3416810367</v>
      </c>
      <c r="J27" s="34">
        <f t="shared" si="38"/>
        <v>873684146</v>
      </c>
      <c r="K27" s="30">
        <f t="shared" si="4"/>
        <v>2340446731</v>
      </c>
      <c r="L27" s="30">
        <f t="shared" si="5"/>
        <v>269484208</v>
      </c>
      <c r="M27" s="30">
        <f t="shared" si="6"/>
        <v>2609930939</v>
      </c>
      <c r="N27" s="30">
        <f t="shared" si="7"/>
        <v>2684747817</v>
      </c>
      <c r="O27" s="30">
        <f t="shared" si="8"/>
        <v>537149445</v>
      </c>
      <c r="P27" s="30">
        <f t="shared" si="9"/>
        <v>1887698945</v>
      </c>
      <c r="Q27" s="30">
        <f t="shared" si="10"/>
        <v>537133057</v>
      </c>
      <c r="R27" s="30">
        <f t="shared" si="11"/>
        <v>4035330093</v>
      </c>
      <c r="S27" s="30">
        <f t="shared" si="12"/>
        <v>784277496</v>
      </c>
      <c r="T27" s="30">
        <f t="shared" si="13"/>
        <v>3245734143</v>
      </c>
      <c r="U27" s="30">
        <f t="shared" si="14"/>
        <v>3825141207</v>
      </c>
      <c r="V27" s="30">
        <f t="shared" si="15"/>
        <v>3479800</v>
      </c>
      <c r="W27" s="30">
        <f t="shared" si="16"/>
        <v>4023052039</v>
      </c>
      <c r="X27" s="30">
        <f t="shared" si="17"/>
        <v>3821667591</v>
      </c>
      <c r="Y27" s="30">
        <f t="shared" si="18"/>
        <v>204858064</v>
      </c>
      <c r="Z27" s="30">
        <f t="shared" si="19"/>
        <v>3892564015</v>
      </c>
      <c r="AA27" s="30">
        <f t="shared" si="20"/>
        <v>100466810</v>
      </c>
      <c r="AB27" s="30">
        <f t="shared" si="21"/>
        <v>1023606400</v>
      </c>
      <c r="AC27" s="30">
        <f t="shared" si="22"/>
        <v>65578</v>
      </c>
      <c r="AD27" s="30">
        <f t="shared" si="23"/>
        <v>3992899669</v>
      </c>
      <c r="AE27" s="30">
        <f t="shared" si="24"/>
        <v>755159040</v>
      </c>
      <c r="AF27" s="30">
        <f t="shared" si="25"/>
        <v>3506187989</v>
      </c>
      <c r="AG27" s="34">
        <f>MOD(J26+Y27+M27+'📦 SHA-256 Constants'!C25+AN26,4294967296)</f>
        <v>4099776337</v>
      </c>
      <c r="AH27" s="34">
        <f t="shared" si="26"/>
        <v>3246550786</v>
      </c>
      <c r="AI27" s="30">
        <f t="shared" si="27"/>
        <v>2497315577</v>
      </c>
      <c r="AJ27" s="30">
        <f>'📦 SHA-256 Constants'!C25</f>
        <v>1249150122</v>
      </c>
      <c r="AK27" s="25" t="s">
        <v>185</v>
      </c>
      <c r="AM27" s="26">
        <v>22</v>
      </c>
      <c r="AN27" s="31">
        <f t="shared" si="29"/>
        <v>3520615416</v>
      </c>
      <c r="AO27" s="32">
        <f t="shared" si="30"/>
        <v>0</v>
      </c>
      <c r="AP27" s="32">
        <f t="shared" si="31"/>
        <v>0</v>
      </c>
      <c r="AQ27" s="32">
        <f t="shared" si="32"/>
        <v>0</v>
      </c>
      <c r="AR27" s="32">
        <f t="shared" si="33"/>
        <v>3192232281</v>
      </c>
      <c r="AS27" s="32">
        <f t="shared" si="34"/>
        <v>1871799894</v>
      </c>
      <c r="AT27" s="32">
        <f t="shared" si="35"/>
        <v>771817552</v>
      </c>
      <c r="AU27" s="32">
        <f t="shared" si="36"/>
        <v>3520615376</v>
      </c>
    </row>
    <row r="28" spans="2:47" ht="13.5" customHeight="1" x14ac:dyDescent="0.25">
      <c r="B28" s="33">
        <v>23</v>
      </c>
      <c r="C28" s="34">
        <f t="shared" si="0"/>
        <v>3187272834</v>
      </c>
      <c r="D28" s="34">
        <f t="shared" si="37"/>
        <v>3051359827</v>
      </c>
      <c r="E28" s="34">
        <f t="shared" si="37"/>
        <v>2685354175</v>
      </c>
      <c r="F28" s="34">
        <f t="shared" si="37"/>
        <v>4141254185</v>
      </c>
      <c r="G28" s="34">
        <f t="shared" si="2"/>
        <v>1507552329</v>
      </c>
      <c r="H28" s="34">
        <f t="shared" si="38"/>
        <v>1470090349</v>
      </c>
      <c r="I28" s="34">
        <f t="shared" si="38"/>
        <v>2949119499</v>
      </c>
      <c r="J28" s="34">
        <f t="shared" si="38"/>
        <v>3416810367</v>
      </c>
      <c r="K28" s="30">
        <f t="shared" si="4"/>
        <v>126340105</v>
      </c>
      <c r="L28" s="30">
        <f t="shared" si="5"/>
        <v>2283807506</v>
      </c>
      <c r="M28" s="30">
        <f t="shared" si="6"/>
        <v>2410147611</v>
      </c>
      <c r="N28" s="30">
        <f t="shared" si="7"/>
        <v>2684354579</v>
      </c>
      <c r="O28" s="30">
        <f t="shared" si="8"/>
        <v>3032483329</v>
      </c>
      <c r="P28" s="30">
        <f t="shared" si="9"/>
        <v>2684747817</v>
      </c>
      <c r="Q28" s="30">
        <f t="shared" si="10"/>
        <v>2684354561</v>
      </c>
      <c r="R28" s="30">
        <f t="shared" si="11"/>
        <v>3032876603</v>
      </c>
      <c r="S28" s="30">
        <f t="shared" si="12"/>
        <v>3042869041</v>
      </c>
      <c r="T28" s="30">
        <f t="shared" si="13"/>
        <v>2376791033</v>
      </c>
      <c r="U28" s="30">
        <f t="shared" si="14"/>
        <v>3487970987</v>
      </c>
      <c r="V28" s="30">
        <f t="shared" si="15"/>
        <v>2232054577</v>
      </c>
      <c r="W28" s="30">
        <f t="shared" si="16"/>
        <v>955550920</v>
      </c>
      <c r="X28" s="30">
        <f t="shared" si="17"/>
        <v>149161096</v>
      </c>
      <c r="Y28" s="30">
        <f t="shared" si="18"/>
        <v>4145199715</v>
      </c>
      <c r="Z28" s="30">
        <f t="shared" si="19"/>
        <v>3984065428</v>
      </c>
      <c r="AA28" s="30">
        <f t="shared" si="20"/>
        <v>1922936576</v>
      </c>
      <c r="AB28" s="30">
        <f t="shared" si="21"/>
        <v>2151239383</v>
      </c>
      <c r="AC28" s="30">
        <f t="shared" si="22"/>
        <v>1612186368</v>
      </c>
      <c r="AD28" s="30">
        <f t="shared" si="23"/>
        <v>2682629268</v>
      </c>
      <c r="AE28" s="30">
        <f t="shared" si="24"/>
        <v>2149649556</v>
      </c>
      <c r="AF28" s="30">
        <f t="shared" si="25"/>
        <v>534569539</v>
      </c>
      <c r="AG28" s="34">
        <f>MOD(J27+Y28+M28+'📦 SHA-256 Constants'!C26+AN27,4294967296)</f>
        <v>3914793988</v>
      </c>
      <c r="AH28" s="34">
        <f t="shared" si="26"/>
        <v>3567446142</v>
      </c>
      <c r="AI28" s="30">
        <f t="shared" si="27"/>
        <v>3520615416</v>
      </c>
      <c r="AJ28" s="30">
        <f>'📦 SHA-256 Constants'!C26</f>
        <v>1555081692</v>
      </c>
      <c r="AK28" s="25" t="s">
        <v>186</v>
      </c>
      <c r="AM28" s="26">
        <v>23</v>
      </c>
      <c r="AN28" s="31">
        <f t="shared" si="29"/>
        <v>3063633602</v>
      </c>
      <c r="AO28" s="32">
        <f t="shared" si="30"/>
        <v>0</v>
      </c>
      <c r="AP28" s="32">
        <f t="shared" si="31"/>
        <v>0</v>
      </c>
      <c r="AQ28" s="32">
        <f t="shared" si="32"/>
        <v>0</v>
      </c>
      <c r="AR28" s="32">
        <f t="shared" si="33"/>
        <v>24955501</v>
      </c>
      <c r="AS28" s="32">
        <f t="shared" si="34"/>
        <v>1079980699</v>
      </c>
      <c r="AT28" s="32">
        <f t="shared" si="35"/>
        <v>6029833</v>
      </c>
      <c r="AU28" s="32">
        <f t="shared" si="36"/>
        <v>1090965110</v>
      </c>
    </row>
    <row r="29" spans="2:47" ht="13.5" customHeight="1" x14ac:dyDescent="0.25">
      <c r="B29" s="33">
        <v>24</v>
      </c>
      <c r="C29" s="34">
        <f t="shared" si="0"/>
        <v>362446465</v>
      </c>
      <c r="D29" s="34">
        <f t="shared" si="37"/>
        <v>3187272834</v>
      </c>
      <c r="E29" s="34">
        <f t="shared" si="37"/>
        <v>3051359827</v>
      </c>
      <c r="F29" s="34">
        <f t="shared" si="37"/>
        <v>2685354175</v>
      </c>
      <c r="G29" s="34">
        <f t="shared" si="2"/>
        <v>699275775</v>
      </c>
      <c r="H29" s="34">
        <f t="shared" si="38"/>
        <v>1507552329</v>
      </c>
      <c r="I29" s="34">
        <f t="shared" si="38"/>
        <v>1470090349</v>
      </c>
      <c r="J29" s="34">
        <f t="shared" si="38"/>
        <v>2949119499</v>
      </c>
      <c r="K29" s="30">
        <f t="shared" si="4"/>
        <v>1369132105</v>
      </c>
      <c r="L29" s="30">
        <f t="shared" si="5"/>
        <v>2785317378</v>
      </c>
      <c r="M29" s="30">
        <f t="shared" si="6"/>
        <v>4154449483</v>
      </c>
      <c r="N29" s="30">
        <f t="shared" si="7"/>
        <v>3051359234</v>
      </c>
      <c r="O29" s="30">
        <f t="shared" si="8"/>
        <v>2684960898</v>
      </c>
      <c r="P29" s="30">
        <f t="shared" si="9"/>
        <v>2684354579</v>
      </c>
      <c r="Q29" s="30">
        <f t="shared" si="10"/>
        <v>2684354562</v>
      </c>
      <c r="R29" s="30">
        <f t="shared" si="11"/>
        <v>3051965587</v>
      </c>
      <c r="S29" s="30">
        <f t="shared" si="12"/>
        <v>627535281</v>
      </c>
      <c r="T29" s="30">
        <f t="shared" si="13"/>
        <v>2301311853</v>
      </c>
      <c r="U29" s="30">
        <f t="shared" si="14"/>
        <v>3988137132</v>
      </c>
      <c r="V29" s="30">
        <f t="shared" si="15"/>
        <v>19081505</v>
      </c>
      <c r="W29" s="30">
        <f t="shared" si="16"/>
        <v>2890684124</v>
      </c>
      <c r="X29" s="30">
        <f t="shared" si="17"/>
        <v>2885944460</v>
      </c>
      <c r="Y29" s="30">
        <f t="shared" si="18"/>
        <v>1106932336</v>
      </c>
      <c r="Z29" s="30">
        <f t="shared" si="19"/>
        <v>2944301856</v>
      </c>
      <c r="AA29" s="30">
        <f t="shared" si="20"/>
        <v>1679159247</v>
      </c>
      <c r="AB29" s="30">
        <f t="shared" si="21"/>
        <v>3887205111</v>
      </c>
      <c r="AC29" s="30">
        <f t="shared" si="22"/>
        <v>605317888</v>
      </c>
      <c r="AD29" s="30">
        <f t="shared" si="23"/>
        <v>3412825327</v>
      </c>
      <c r="AE29" s="30">
        <f t="shared" si="24"/>
        <v>3273785575</v>
      </c>
      <c r="AF29" s="30">
        <f t="shared" si="25"/>
        <v>752459288</v>
      </c>
      <c r="AG29" s="34">
        <f>MOD(J28+Y29+M29+'📦 SHA-256 Constants'!C27+AN28,4294967296)</f>
        <v>852988886</v>
      </c>
      <c r="AH29" s="34">
        <f t="shared" si="26"/>
        <v>3804424875</v>
      </c>
      <c r="AI29" s="30">
        <f t="shared" si="27"/>
        <v>3063633602</v>
      </c>
      <c r="AJ29" s="30">
        <f>'📦 SHA-256 Constants'!C27</f>
        <v>1996064986</v>
      </c>
      <c r="AK29" s="25" t="s">
        <v>187</v>
      </c>
      <c r="AM29" s="26">
        <v>24</v>
      </c>
      <c r="AN29" s="31">
        <f t="shared" si="29"/>
        <v>2470970563</v>
      </c>
      <c r="AO29" s="32">
        <f t="shared" si="30"/>
        <v>0</v>
      </c>
      <c r="AP29" s="32">
        <f t="shared" si="31"/>
        <v>0</v>
      </c>
      <c r="AQ29" s="32">
        <f t="shared" si="32"/>
        <v>0</v>
      </c>
      <c r="AR29" s="32">
        <f t="shared" si="33"/>
        <v>704407788</v>
      </c>
      <c r="AS29" s="32">
        <f t="shared" si="34"/>
        <v>176101947</v>
      </c>
      <c r="AT29" s="32">
        <f t="shared" si="35"/>
        <v>142346280</v>
      </c>
      <c r="AU29" s="32">
        <f t="shared" si="36"/>
        <v>599196867</v>
      </c>
    </row>
    <row r="30" spans="2:47" ht="13.5" customHeight="1" x14ac:dyDescent="0.25">
      <c r="B30" s="33">
        <v>25</v>
      </c>
      <c r="C30" s="34">
        <f t="shared" si="0"/>
        <v>3720755265</v>
      </c>
      <c r="D30" s="34">
        <f t="shared" si="37"/>
        <v>362446465</v>
      </c>
      <c r="E30" s="34">
        <f t="shared" si="37"/>
        <v>3187272834</v>
      </c>
      <c r="F30" s="34">
        <f t="shared" si="37"/>
        <v>3051359827</v>
      </c>
      <c r="G30" s="34">
        <f t="shared" si="2"/>
        <v>4014527320</v>
      </c>
      <c r="H30" s="34">
        <f t="shared" si="38"/>
        <v>699275775</v>
      </c>
      <c r="I30" s="34">
        <f t="shared" si="38"/>
        <v>1507552329</v>
      </c>
      <c r="J30" s="34">
        <f t="shared" si="38"/>
        <v>1470090349</v>
      </c>
      <c r="K30" s="30">
        <f t="shared" si="4"/>
        <v>160041033</v>
      </c>
      <c r="L30" s="30">
        <f t="shared" si="5"/>
        <v>1444004864</v>
      </c>
      <c r="M30" s="30">
        <f t="shared" si="6"/>
        <v>1604045897</v>
      </c>
      <c r="N30" s="30">
        <f t="shared" si="7"/>
        <v>362310784</v>
      </c>
      <c r="O30" s="30">
        <f t="shared" si="8"/>
        <v>360713729</v>
      </c>
      <c r="P30" s="30">
        <f t="shared" si="9"/>
        <v>3051359234</v>
      </c>
      <c r="Q30" s="30">
        <f t="shared" si="10"/>
        <v>360713216</v>
      </c>
      <c r="R30" s="30">
        <f t="shared" si="11"/>
        <v>3052957315</v>
      </c>
      <c r="S30" s="30">
        <f t="shared" si="12"/>
        <v>4238784615</v>
      </c>
      <c r="T30" s="30">
        <f t="shared" si="13"/>
        <v>1071986115</v>
      </c>
      <c r="U30" s="30">
        <f t="shared" si="14"/>
        <v>3607953300</v>
      </c>
      <c r="V30" s="30">
        <f t="shared" si="15"/>
        <v>1017393219</v>
      </c>
      <c r="W30" s="30">
        <f t="shared" si="16"/>
        <v>3275984292</v>
      </c>
      <c r="X30" s="30">
        <f t="shared" si="17"/>
        <v>3271593348</v>
      </c>
      <c r="Y30" s="30">
        <f t="shared" si="18"/>
        <v>340750896</v>
      </c>
      <c r="Z30" s="30">
        <f t="shared" si="19"/>
        <v>1164353440</v>
      </c>
      <c r="AA30" s="30">
        <f t="shared" si="20"/>
        <v>4094209235</v>
      </c>
      <c r="AB30" s="30">
        <f t="shared" si="21"/>
        <v>1777992790</v>
      </c>
      <c r="AC30" s="30">
        <f t="shared" si="22"/>
        <v>1140886656</v>
      </c>
      <c r="AD30" s="30">
        <f t="shared" si="23"/>
        <v>2976789363</v>
      </c>
      <c r="AE30" s="30">
        <f t="shared" si="24"/>
        <v>560595026</v>
      </c>
      <c r="AF30" s="30">
        <f t="shared" si="25"/>
        <v>3633592101</v>
      </c>
      <c r="AG30" s="34">
        <f>MOD(J29+Y30+M30+'📦 SHA-256 Constants'!C28+AN29,4294967296)</f>
        <v>1329173145</v>
      </c>
      <c r="AH30" s="34">
        <f t="shared" si="26"/>
        <v>2391582120</v>
      </c>
      <c r="AI30" s="30">
        <f t="shared" si="27"/>
        <v>2470970563</v>
      </c>
      <c r="AJ30" s="30">
        <f>'📦 SHA-256 Constants'!C28</f>
        <v>2554220882</v>
      </c>
      <c r="AK30" s="25" t="s">
        <v>188</v>
      </c>
      <c r="AM30" s="26">
        <v>25</v>
      </c>
      <c r="AN30" s="31">
        <f t="shared" si="29"/>
        <v>2529655973</v>
      </c>
      <c r="AO30" s="32">
        <f t="shared" si="30"/>
        <v>0</v>
      </c>
      <c r="AP30" s="32">
        <f t="shared" si="31"/>
        <v>0</v>
      </c>
      <c r="AQ30" s="32">
        <f t="shared" si="32"/>
        <v>0</v>
      </c>
      <c r="AR30" s="32">
        <f t="shared" si="33"/>
        <v>2875284301</v>
      </c>
      <c r="AS30" s="32">
        <f t="shared" si="34"/>
        <v>1792562899</v>
      </c>
      <c r="AT30" s="32">
        <f t="shared" si="35"/>
        <v>708858433</v>
      </c>
      <c r="AU30" s="32">
        <f t="shared" si="36"/>
        <v>3247745867</v>
      </c>
    </row>
    <row r="31" spans="2:47" ht="13.5" customHeight="1" x14ac:dyDescent="0.25">
      <c r="B31" s="33">
        <v>26</v>
      </c>
      <c r="C31" s="34">
        <f t="shared" si="0"/>
        <v>3363215055</v>
      </c>
      <c r="D31" s="34">
        <f t="shared" si="37"/>
        <v>3720755265</v>
      </c>
      <c r="E31" s="34">
        <f t="shared" si="37"/>
        <v>362446465</v>
      </c>
      <c r="F31" s="34">
        <f t="shared" si="37"/>
        <v>3187272834</v>
      </c>
      <c r="G31" s="34">
        <f t="shared" si="2"/>
        <v>853393739</v>
      </c>
      <c r="H31" s="34">
        <f t="shared" si="38"/>
        <v>4014527320</v>
      </c>
      <c r="I31" s="34">
        <f t="shared" si="38"/>
        <v>699275775</v>
      </c>
      <c r="J31" s="34">
        <f t="shared" si="38"/>
        <v>1507552329</v>
      </c>
      <c r="K31" s="30">
        <f t="shared" si="4"/>
        <v>688394584</v>
      </c>
      <c r="L31" s="30">
        <f t="shared" si="5"/>
        <v>278080513</v>
      </c>
      <c r="M31" s="30">
        <f t="shared" si="6"/>
        <v>966475097</v>
      </c>
      <c r="N31" s="30">
        <f t="shared" si="7"/>
        <v>360855553</v>
      </c>
      <c r="O31" s="30">
        <f t="shared" si="8"/>
        <v>2646616064</v>
      </c>
      <c r="P31" s="30">
        <f t="shared" si="9"/>
        <v>362310784</v>
      </c>
      <c r="Q31" s="30">
        <f t="shared" si="10"/>
        <v>360720384</v>
      </c>
      <c r="R31" s="30">
        <f t="shared" si="11"/>
        <v>2648341633</v>
      </c>
      <c r="S31" s="30">
        <f t="shared" si="12"/>
        <v>1673339725</v>
      </c>
      <c r="T31" s="30">
        <f t="shared" si="13"/>
        <v>1797122330</v>
      </c>
      <c r="U31" s="30">
        <f t="shared" si="14"/>
        <v>2758388855</v>
      </c>
      <c r="V31" s="30">
        <f t="shared" si="15"/>
        <v>1662853384</v>
      </c>
      <c r="W31" s="30">
        <f t="shared" si="16"/>
        <v>144755287</v>
      </c>
      <c r="X31" s="30">
        <f t="shared" si="17"/>
        <v>2132055</v>
      </c>
      <c r="Y31" s="30">
        <f t="shared" si="18"/>
        <v>2898880032</v>
      </c>
      <c r="Z31" s="30">
        <f t="shared" si="19"/>
        <v>2003930640</v>
      </c>
      <c r="AA31" s="30">
        <f t="shared" si="20"/>
        <v>3255758385</v>
      </c>
      <c r="AB31" s="30">
        <f t="shared" si="21"/>
        <v>417400695</v>
      </c>
      <c r="AC31" s="30">
        <f t="shared" si="22"/>
        <v>1107332624</v>
      </c>
      <c r="AD31" s="30">
        <f t="shared" si="23"/>
        <v>3045023777</v>
      </c>
      <c r="AE31" s="30">
        <f t="shared" si="24"/>
        <v>274792481</v>
      </c>
      <c r="AF31" s="30">
        <f t="shared" si="25"/>
        <v>2912839510</v>
      </c>
      <c r="AG31" s="34">
        <f>MOD(J30+Y31+M31+'📦 SHA-256 Constants'!C29+AN30,4294967296)</f>
        <v>2097001208</v>
      </c>
      <c r="AH31" s="34">
        <f t="shared" si="26"/>
        <v>1266213847</v>
      </c>
      <c r="AI31" s="30">
        <f t="shared" si="27"/>
        <v>2529655973</v>
      </c>
      <c r="AJ31" s="30">
        <f>'📦 SHA-256 Constants'!C29</f>
        <v>2821834349</v>
      </c>
      <c r="AK31" s="25" t="s">
        <v>189</v>
      </c>
      <c r="AM31" s="26">
        <v>26</v>
      </c>
      <c r="AN31" s="31">
        <f t="shared" si="29"/>
        <v>2734245958</v>
      </c>
      <c r="AO31" s="32">
        <f t="shared" si="30"/>
        <v>0</v>
      </c>
      <c r="AP31" s="32">
        <f t="shared" si="31"/>
        <v>0</v>
      </c>
      <c r="AQ31" s="32">
        <f t="shared" si="32"/>
        <v>0</v>
      </c>
      <c r="AR31" s="32">
        <f t="shared" si="33"/>
        <v>39963044</v>
      </c>
      <c r="AS31" s="32">
        <f t="shared" si="34"/>
        <v>9990761</v>
      </c>
      <c r="AT31" s="32">
        <f t="shared" si="35"/>
        <v>16416</v>
      </c>
      <c r="AU31" s="32">
        <f t="shared" si="36"/>
        <v>48064972</v>
      </c>
    </row>
    <row r="32" spans="2:47" ht="13.5" customHeight="1" x14ac:dyDescent="0.25">
      <c r="B32" s="33">
        <v>27</v>
      </c>
      <c r="C32" s="34">
        <f t="shared" si="0"/>
        <v>3214890846</v>
      </c>
      <c r="D32" s="34">
        <f t="shared" si="37"/>
        <v>3363215055</v>
      </c>
      <c r="E32" s="34">
        <f t="shared" si="37"/>
        <v>3720755265</v>
      </c>
      <c r="F32" s="34">
        <f t="shared" si="37"/>
        <v>362446465</v>
      </c>
      <c r="G32" s="34">
        <f t="shared" si="2"/>
        <v>25832441</v>
      </c>
      <c r="H32" s="34">
        <f t="shared" si="38"/>
        <v>853393739</v>
      </c>
      <c r="I32" s="34">
        <f t="shared" si="38"/>
        <v>4014527320</v>
      </c>
      <c r="J32" s="34">
        <f t="shared" si="38"/>
        <v>699275775</v>
      </c>
      <c r="K32" s="30">
        <f t="shared" si="4"/>
        <v>575193416</v>
      </c>
      <c r="L32" s="30">
        <f t="shared" si="5"/>
        <v>153229492</v>
      </c>
      <c r="M32" s="30">
        <f t="shared" si="6"/>
        <v>728422908</v>
      </c>
      <c r="N32" s="30">
        <f t="shared" si="7"/>
        <v>3360034881</v>
      </c>
      <c r="O32" s="30">
        <f t="shared" si="8"/>
        <v>1185409</v>
      </c>
      <c r="P32" s="30">
        <f t="shared" si="9"/>
        <v>360855553</v>
      </c>
      <c r="Q32" s="30">
        <f t="shared" si="10"/>
        <v>135169</v>
      </c>
      <c r="R32" s="30">
        <f t="shared" si="11"/>
        <v>3721805505</v>
      </c>
      <c r="S32" s="30">
        <f t="shared" si="12"/>
        <v>751531781</v>
      </c>
      <c r="T32" s="30">
        <f t="shared" si="13"/>
        <v>694574008</v>
      </c>
      <c r="U32" s="30">
        <f t="shared" si="14"/>
        <v>1860216217</v>
      </c>
      <c r="V32" s="30">
        <f t="shared" si="15"/>
        <v>675435264</v>
      </c>
      <c r="W32" s="30">
        <f t="shared" si="16"/>
        <v>95235261</v>
      </c>
      <c r="X32" s="30">
        <f t="shared" si="17"/>
        <v>77603993</v>
      </c>
      <c r="Y32" s="30">
        <f t="shared" si="18"/>
        <v>1800243492</v>
      </c>
      <c r="Z32" s="30">
        <f t="shared" si="19"/>
        <v>4062029235</v>
      </c>
      <c r="AA32" s="30">
        <f t="shared" si="20"/>
        <v>3061728180</v>
      </c>
      <c r="AB32" s="30">
        <f t="shared" si="21"/>
        <v>3663413025</v>
      </c>
      <c r="AC32" s="30">
        <f t="shared" si="22"/>
        <v>2988179888</v>
      </c>
      <c r="AD32" s="30">
        <f t="shared" si="23"/>
        <v>1147397639</v>
      </c>
      <c r="AE32" s="30">
        <f t="shared" si="24"/>
        <v>1078142465</v>
      </c>
      <c r="AF32" s="30">
        <f t="shared" si="25"/>
        <v>2654525734</v>
      </c>
      <c r="AG32" s="34">
        <f>MOD(J31+Y32+M32+'📦 SHA-256 Constants'!C30+AN31,4294967296)</f>
        <v>1133526903</v>
      </c>
      <c r="AH32" s="34">
        <f t="shared" si="26"/>
        <v>2081363943</v>
      </c>
      <c r="AI32" s="30">
        <f t="shared" si="27"/>
        <v>2734245958</v>
      </c>
      <c r="AJ32" s="30">
        <f>'📦 SHA-256 Constants'!C30</f>
        <v>2952996808</v>
      </c>
      <c r="AK32" s="25" t="s">
        <v>190</v>
      </c>
      <c r="AM32" s="26">
        <v>27</v>
      </c>
      <c r="AN32" s="31">
        <f t="shared" si="29"/>
        <v>2224506095</v>
      </c>
      <c r="AO32" s="32">
        <f t="shared" si="30"/>
        <v>0</v>
      </c>
      <c r="AP32" s="32">
        <f t="shared" si="31"/>
        <v>0</v>
      </c>
      <c r="AQ32" s="32">
        <f t="shared" si="32"/>
        <v>0</v>
      </c>
      <c r="AR32" s="32">
        <f t="shared" si="33"/>
        <v>3193097059</v>
      </c>
      <c r="AS32" s="32">
        <f t="shared" si="34"/>
        <v>4019499736</v>
      </c>
      <c r="AT32" s="32">
        <f t="shared" si="35"/>
        <v>2920317504</v>
      </c>
      <c r="AU32" s="32">
        <f t="shared" si="36"/>
        <v>1373882468</v>
      </c>
    </row>
    <row r="33" spans="2:47" ht="13.5" customHeight="1" x14ac:dyDescent="0.25">
      <c r="B33" s="33">
        <v>28</v>
      </c>
      <c r="C33" s="34">
        <f t="shared" si="0"/>
        <v>12648330</v>
      </c>
      <c r="D33" s="34">
        <f t="shared" si="37"/>
        <v>3214890846</v>
      </c>
      <c r="E33" s="34">
        <f t="shared" si="37"/>
        <v>3363215055</v>
      </c>
      <c r="F33" s="34">
        <f t="shared" si="37"/>
        <v>3720755265</v>
      </c>
      <c r="G33" s="34">
        <f t="shared" si="2"/>
        <v>3493204969</v>
      </c>
      <c r="H33" s="34">
        <f t="shared" si="38"/>
        <v>25832441</v>
      </c>
      <c r="I33" s="34">
        <f t="shared" si="38"/>
        <v>853393739</v>
      </c>
      <c r="J33" s="34">
        <f t="shared" si="38"/>
        <v>4014527320</v>
      </c>
      <c r="K33" s="30">
        <f t="shared" si="4"/>
        <v>8913225</v>
      </c>
      <c r="L33" s="30">
        <f t="shared" si="5"/>
        <v>3997224960</v>
      </c>
      <c r="M33" s="30">
        <f t="shared" si="6"/>
        <v>4006138185</v>
      </c>
      <c r="N33" s="30">
        <f t="shared" si="7"/>
        <v>2283148878</v>
      </c>
      <c r="O33" s="30">
        <f t="shared" si="8"/>
        <v>2642808896</v>
      </c>
      <c r="P33" s="30">
        <f t="shared" si="9"/>
        <v>3360034881</v>
      </c>
      <c r="Q33" s="30">
        <f t="shared" si="10"/>
        <v>2282098752</v>
      </c>
      <c r="R33" s="30">
        <f t="shared" si="11"/>
        <v>3721795151</v>
      </c>
      <c r="S33" s="30">
        <f t="shared" si="12"/>
        <v>3825608879</v>
      </c>
      <c r="T33" s="30">
        <f t="shared" si="13"/>
        <v>2132816197</v>
      </c>
      <c r="U33" s="30">
        <f t="shared" si="14"/>
        <v>3306552448</v>
      </c>
      <c r="V33" s="30">
        <f t="shared" si="15"/>
        <v>1677729797</v>
      </c>
      <c r="W33" s="30">
        <f t="shared" si="16"/>
        <v>2602965482</v>
      </c>
      <c r="X33" s="30">
        <f t="shared" si="17"/>
        <v>2164529280</v>
      </c>
      <c r="Y33" s="30">
        <f t="shared" si="18"/>
        <v>1580459370</v>
      </c>
      <c r="Z33" s="30">
        <f t="shared" si="19"/>
        <v>2951206359</v>
      </c>
      <c r="AA33" s="30">
        <f t="shared" si="20"/>
        <v>3136683258</v>
      </c>
      <c r="AB33" s="30">
        <f t="shared" si="21"/>
        <v>2103278334</v>
      </c>
      <c r="AC33" s="30">
        <f t="shared" si="22"/>
        <v>2867188946</v>
      </c>
      <c r="AD33" s="30">
        <f t="shared" si="23"/>
        <v>353511725</v>
      </c>
      <c r="AE33" s="30">
        <f t="shared" si="24"/>
        <v>353380396</v>
      </c>
      <c r="AF33" s="30">
        <f t="shared" si="25"/>
        <v>1750029267</v>
      </c>
      <c r="AG33" s="34">
        <f>MOD(J32+Y33+M33+'📦 SHA-256 Constants'!C31+AN32,4294967296)</f>
        <v>3130758504</v>
      </c>
      <c r="AH33" s="34">
        <f t="shared" si="26"/>
        <v>1176857122</v>
      </c>
      <c r="AI33" s="30">
        <f t="shared" si="27"/>
        <v>2224506095</v>
      </c>
      <c r="AJ33" s="30">
        <f>'📦 SHA-256 Constants'!C31</f>
        <v>3210313671</v>
      </c>
      <c r="AK33" s="25" t="s">
        <v>191</v>
      </c>
      <c r="AM33" s="26">
        <v>28</v>
      </c>
      <c r="AN33" s="31">
        <f t="shared" si="29"/>
        <v>568147562</v>
      </c>
      <c r="AO33" s="32">
        <f t="shared" si="30"/>
        <v>0</v>
      </c>
      <c r="AP33" s="32">
        <f t="shared" si="31"/>
        <v>0</v>
      </c>
      <c r="AQ33" s="32">
        <f t="shared" si="32"/>
        <v>0</v>
      </c>
      <c r="AR33" s="32">
        <f t="shared" si="33"/>
        <v>2753778044</v>
      </c>
      <c r="AS33" s="32">
        <f t="shared" si="34"/>
        <v>688444511</v>
      </c>
      <c r="AT33" s="32">
        <f t="shared" si="35"/>
        <v>536891484</v>
      </c>
      <c r="AU33" s="32">
        <f t="shared" si="36"/>
        <v>2365799281</v>
      </c>
    </row>
    <row r="34" spans="2:47" ht="13.5" customHeight="1" x14ac:dyDescent="0.25">
      <c r="B34" s="33">
        <v>29</v>
      </c>
      <c r="C34" s="34">
        <f t="shared" si="0"/>
        <v>3300521401</v>
      </c>
      <c r="D34" s="34">
        <f t="shared" si="37"/>
        <v>12648330</v>
      </c>
      <c r="E34" s="34">
        <f t="shared" si="37"/>
        <v>3214890846</v>
      </c>
      <c r="F34" s="34">
        <f t="shared" si="37"/>
        <v>3363215055</v>
      </c>
      <c r="G34" s="34">
        <f t="shared" si="2"/>
        <v>2584429638</v>
      </c>
      <c r="H34" s="34">
        <f t="shared" si="38"/>
        <v>3493204969</v>
      </c>
      <c r="I34" s="34">
        <f t="shared" si="38"/>
        <v>25832441</v>
      </c>
      <c r="J34" s="34">
        <f t="shared" si="38"/>
        <v>853393739</v>
      </c>
      <c r="K34" s="30">
        <f t="shared" si="4"/>
        <v>132073</v>
      </c>
      <c r="L34" s="30">
        <f t="shared" si="5"/>
        <v>583647234</v>
      </c>
      <c r="M34" s="30">
        <f t="shared" si="6"/>
        <v>583779307</v>
      </c>
      <c r="N34" s="30">
        <f t="shared" si="7"/>
        <v>8410890</v>
      </c>
      <c r="O34" s="30">
        <f t="shared" si="8"/>
        <v>4232842</v>
      </c>
      <c r="P34" s="30">
        <f t="shared" si="9"/>
        <v>2283148878</v>
      </c>
      <c r="Q34" s="30">
        <f t="shared" si="10"/>
        <v>5642</v>
      </c>
      <c r="R34" s="30">
        <f t="shared" si="11"/>
        <v>2295781326</v>
      </c>
      <c r="S34" s="30">
        <f t="shared" si="12"/>
        <v>2806044751</v>
      </c>
      <c r="T34" s="30">
        <f t="shared" si="13"/>
        <v>2100954818</v>
      </c>
      <c r="U34" s="30">
        <f t="shared" si="14"/>
        <v>453637352</v>
      </c>
      <c r="V34" s="30">
        <f t="shared" si="15"/>
        <v>620757058</v>
      </c>
      <c r="W34" s="30">
        <f t="shared" si="16"/>
        <v>3665485453</v>
      </c>
      <c r="X34" s="30">
        <f t="shared" si="17"/>
        <v>436786312</v>
      </c>
      <c r="Y34" s="30">
        <f t="shared" si="18"/>
        <v>3245550181</v>
      </c>
      <c r="Z34" s="30">
        <f t="shared" si="19"/>
        <v>2150645730</v>
      </c>
      <c r="AA34" s="30">
        <f t="shared" si="20"/>
        <v>4233102855</v>
      </c>
      <c r="AB34" s="30">
        <f t="shared" si="21"/>
        <v>66988035</v>
      </c>
      <c r="AC34" s="30">
        <f t="shared" si="22"/>
        <v>2148533762</v>
      </c>
      <c r="AD34" s="30">
        <f t="shared" si="23"/>
        <v>2086681061</v>
      </c>
      <c r="AE34" s="30">
        <f t="shared" si="24"/>
        <v>6301697</v>
      </c>
      <c r="AF34" s="30">
        <f t="shared" si="25"/>
        <v>2141065702</v>
      </c>
      <c r="AG34" s="34">
        <f>MOD(J33+Y34+M34+'📦 SHA-256 Constants'!C32+AN33,4294967296)</f>
        <v>3158641669</v>
      </c>
      <c r="AH34" s="34">
        <f t="shared" si="26"/>
        <v>141879732</v>
      </c>
      <c r="AI34" s="30">
        <f t="shared" si="27"/>
        <v>568147562</v>
      </c>
      <c r="AJ34" s="30">
        <f>'📦 SHA-256 Constants'!C32</f>
        <v>3336571891</v>
      </c>
      <c r="AK34" s="25" t="s">
        <v>192</v>
      </c>
      <c r="AM34" s="26">
        <v>29</v>
      </c>
      <c r="AN34" s="31">
        <f t="shared" si="29"/>
        <v>480471808</v>
      </c>
      <c r="AO34" s="32">
        <f t="shared" si="30"/>
        <v>0</v>
      </c>
      <c r="AP34" s="32">
        <f t="shared" si="31"/>
        <v>0</v>
      </c>
      <c r="AQ34" s="32">
        <f t="shared" si="32"/>
        <v>0</v>
      </c>
      <c r="AR34" s="32">
        <f t="shared" si="33"/>
        <v>2725757515</v>
      </c>
      <c r="AS34" s="32">
        <f t="shared" si="34"/>
        <v>3902664850</v>
      </c>
      <c r="AT34" s="32">
        <f t="shared" si="35"/>
        <v>2685779970</v>
      </c>
      <c r="AU34" s="32">
        <f t="shared" si="36"/>
        <v>1254823688</v>
      </c>
    </row>
    <row r="35" spans="2:47" ht="13.5" customHeight="1" x14ac:dyDescent="0.25">
      <c r="B35" s="33">
        <v>30</v>
      </c>
      <c r="C35" s="34">
        <f t="shared" si="0"/>
        <v>227864588</v>
      </c>
      <c r="D35" s="34">
        <f t="shared" si="37"/>
        <v>3300521401</v>
      </c>
      <c r="E35" s="34">
        <f t="shared" si="37"/>
        <v>12648330</v>
      </c>
      <c r="F35" s="34">
        <f t="shared" si="37"/>
        <v>3214890846</v>
      </c>
      <c r="G35" s="34">
        <f t="shared" si="2"/>
        <v>372952974</v>
      </c>
      <c r="H35" s="34">
        <f t="shared" si="38"/>
        <v>2584429638</v>
      </c>
      <c r="I35" s="34">
        <f t="shared" si="38"/>
        <v>3493204969</v>
      </c>
      <c r="J35" s="34">
        <f t="shared" si="38"/>
        <v>25832441</v>
      </c>
      <c r="K35" s="30">
        <f t="shared" si="4"/>
        <v>2416050240</v>
      </c>
      <c r="L35" s="30">
        <f t="shared" si="5"/>
        <v>25177017</v>
      </c>
      <c r="M35" s="30">
        <f t="shared" si="6"/>
        <v>2441227257</v>
      </c>
      <c r="N35" s="30">
        <f t="shared" si="7"/>
        <v>8451464</v>
      </c>
      <c r="O35" s="30">
        <f t="shared" si="8"/>
        <v>2224641304</v>
      </c>
      <c r="P35" s="30">
        <f t="shared" si="9"/>
        <v>8410890</v>
      </c>
      <c r="Q35" s="30">
        <f t="shared" si="10"/>
        <v>8410376</v>
      </c>
      <c r="R35" s="30">
        <f t="shared" si="11"/>
        <v>2224682906</v>
      </c>
      <c r="S35" s="30">
        <f t="shared" si="12"/>
        <v>443034897</v>
      </c>
      <c r="T35" s="30">
        <f t="shared" si="13"/>
        <v>2295546216</v>
      </c>
      <c r="U35" s="30">
        <f t="shared" si="14"/>
        <v>94511949</v>
      </c>
      <c r="V35" s="30">
        <f t="shared" si="15"/>
        <v>138412288</v>
      </c>
      <c r="W35" s="30">
        <f t="shared" si="16"/>
        <v>2461756537</v>
      </c>
      <c r="X35" s="30">
        <f t="shared" si="17"/>
        <v>10625097</v>
      </c>
      <c r="Y35" s="30">
        <f t="shared" si="18"/>
        <v>2535018292</v>
      </c>
      <c r="Z35" s="30">
        <f t="shared" si="19"/>
        <v>1898872174</v>
      </c>
      <c r="AA35" s="30">
        <f t="shared" si="20"/>
        <v>2915968463</v>
      </c>
      <c r="AB35" s="30">
        <f t="shared" si="21"/>
        <v>3889620754</v>
      </c>
      <c r="AC35" s="30">
        <f t="shared" si="22"/>
        <v>554575182</v>
      </c>
      <c r="AD35" s="30">
        <f t="shared" si="23"/>
        <v>3705690273</v>
      </c>
      <c r="AE35" s="30">
        <f t="shared" si="24"/>
        <v>3300933632</v>
      </c>
      <c r="AF35" s="30">
        <f t="shared" si="25"/>
        <v>993443763</v>
      </c>
      <c r="AG35" s="34">
        <f>MOD(J34+Y35+M35+'📦 SHA-256 Constants'!C33+AN34,4294967296)</f>
        <v>1304705215</v>
      </c>
      <c r="AH35" s="34">
        <f t="shared" si="26"/>
        <v>3218126669</v>
      </c>
      <c r="AI35" s="30">
        <f t="shared" si="27"/>
        <v>480471808</v>
      </c>
      <c r="AJ35" s="30">
        <f>'📦 SHA-256 Constants'!C33</f>
        <v>3584528711</v>
      </c>
      <c r="AK35" s="25" t="s">
        <v>193</v>
      </c>
      <c r="AM35" s="26">
        <v>30</v>
      </c>
      <c r="AN35" s="31">
        <f t="shared" si="29"/>
        <v>1066760801</v>
      </c>
      <c r="AO35" s="32">
        <f t="shared" si="30"/>
        <v>1342177280</v>
      </c>
      <c r="AP35" s="32">
        <f t="shared" si="31"/>
        <v>0</v>
      </c>
      <c r="AQ35" s="32">
        <f t="shared" si="32"/>
        <v>1342832645</v>
      </c>
      <c r="AR35" s="32">
        <f t="shared" si="33"/>
        <v>2671055086</v>
      </c>
      <c r="AS35" s="32">
        <f t="shared" si="34"/>
        <v>2815247419</v>
      </c>
      <c r="AT35" s="32">
        <f t="shared" si="35"/>
        <v>2265251882</v>
      </c>
      <c r="AU35" s="32">
        <f t="shared" si="36"/>
        <v>955261850</v>
      </c>
    </row>
    <row r="36" spans="2:47" ht="13.5" customHeight="1" x14ac:dyDescent="0.25">
      <c r="B36" s="33">
        <v>31</v>
      </c>
      <c r="C36" s="34">
        <f t="shared" si="0"/>
        <v>3293355928</v>
      </c>
      <c r="D36" s="34">
        <f t="shared" si="37"/>
        <v>227864588</v>
      </c>
      <c r="E36" s="34">
        <f t="shared" si="37"/>
        <v>3300521401</v>
      </c>
      <c r="F36" s="34">
        <f t="shared" si="37"/>
        <v>12648330</v>
      </c>
      <c r="G36" s="34">
        <f t="shared" si="2"/>
        <v>2929041628</v>
      </c>
      <c r="H36" s="34">
        <f t="shared" si="38"/>
        <v>372952974</v>
      </c>
      <c r="I36" s="34">
        <f t="shared" si="38"/>
        <v>2584429638</v>
      </c>
      <c r="J36" s="34">
        <f t="shared" si="38"/>
        <v>3493204969</v>
      </c>
      <c r="K36" s="30">
        <f t="shared" si="4"/>
        <v>302662662</v>
      </c>
      <c r="L36" s="30">
        <f t="shared" si="5"/>
        <v>3221491809</v>
      </c>
      <c r="M36" s="30">
        <f t="shared" si="6"/>
        <v>3524154471</v>
      </c>
      <c r="N36" s="30">
        <f t="shared" si="7"/>
        <v>76607496</v>
      </c>
      <c r="O36" s="30">
        <f t="shared" si="8"/>
        <v>8450056</v>
      </c>
      <c r="P36" s="30">
        <f t="shared" si="9"/>
        <v>8451464</v>
      </c>
      <c r="Q36" s="30">
        <f t="shared" si="10"/>
        <v>8450056</v>
      </c>
      <c r="R36" s="30">
        <f t="shared" si="11"/>
        <v>76608904</v>
      </c>
      <c r="S36" s="30">
        <f t="shared" si="12"/>
        <v>945351486</v>
      </c>
      <c r="T36" s="30">
        <f t="shared" si="13"/>
        <v>4056074073</v>
      </c>
      <c r="U36" s="30">
        <f t="shared" si="14"/>
        <v>493340427</v>
      </c>
      <c r="V36" s="30">
        <f t="shared" si="15"/>
        <v>809550616</v>
      </c>
      <c r="W36" s="30">
        <f t="shared" si="16"/>
        <v>3382324327</v>
      </c>
      <c r="X36" s="30">
        <f t="shared" si="17"/>
        <v>151127043</v>
      </c>
      <c r="Y36" s="30">
        <f t="shared" si="18"/>
        <v>3573410668</v>
      </c>
      <c r="Z36" s="30">
        <f t="shared" si="19"/>
        <v>56966147</v>
      </c>
      <c r="AA36" s="30">
        <f t="shared" si="20"/>
        <v>2153802919</v>
      </c>
      <c r="AB36" s="30">
        <f t="shared" si="21"/>
        <v>1405104182</v>
      </c>
      <c r="AC36" s="30">
        <f t="shared" si="22"/>
        <v>6302723</v>
      </c>
      <c r="AD36" s="30">
        <f t="shared" si="23"/>
        <v>2198163620</v>
      </c>
      <c r="AE36" s="30">
        <f t="shared" si="24"/>
        <v>50335780</v>
      </c>
      <c r="AF36" s="30">
        <f t="shared" si="25"/>
        <v>3502596242</v>
      </c>
      <c r="AG36" s="34">
        <f>MOD(J35+Y36+M36+'📦 SHA-256 Constants'!C34+AN35,4294967296)</f>
        <v>4009118078</v>
      </c>
      <c r="AH36" s="34">
        <f t="shared" si="26"/>
        <v>3579205146</v>
      </c>
      <c r="AI36" s="30">
        <f t="shared" si="27"/>
        <v>1066760801</v>
      </c>
      <c r="AJ36" s="30">
        <f>'📦 SHA-256 Constants'!C34</f>
        <v>113926993</v>
      </c>
      <c r="AK36" s="25" t="s">
        <v>194</v>
      </c>
      <c r="AM36" s="26">
        <v>31</v>
      </c>
      <c r="AN36" s="31">
        <f t="shared" si="29"/>
        <v>544853894</v>
      </c>
      <c r="AO36" s="32">
        <f t="shared" si="30"/>
        <v>2565548304</v>
      </c>
      <c r="AP36" s="32">
        <f t="shared" si="31"/>
        <v>198912</v>
      </c>
      <c r="AQ36" s="32">
        <f t="shared" si="32"/>
        <v>3024790908</v>
      </c>
      <c r="AR36" s="32">
        <f t="shared" si="33"/>
        <v>3045068369</v>
      </c>
      <c r="AS36" s="32">
        <f t="shared" si="34"/>
        <v>1835008916</v>
      </c>
      <c r="AT36" s="32">
        <f t="shared" si="35"/>
        <v>620757520</v>
      </c>
      <c r="AU36" s="32">
        <f t="shared" si="36"/>
        <v>3639026975</v>
      </c>
    </row>
    <row r="37" spans="2:47" ht="13.5" customHeight="1" x14ac:dyDescent="0.25">
      <c r="B37" s="33">
        <v>32</v>
      </c>
      <c r="C37" s="34">
        <f t="shared" si="0"/>
        <v>54269935</v>
      </c>
      <c r="D37" s="34">
        <f t="shared" si="37"/>
        <v>3293355928</v>
      </c>
      <c r="E37" s="34">
        <f t="shared" si="37"/>
        <v>227864588</v>
      </c>
      <c r="F37" s="34">
        <f t="shared" si="37"/>
        <v>3300521401</v>
      </c>
      <c r="G37" s="34">
        <f t="shared" si="2"/>
        <v>1068809038</v>
      </c>
      <c r="H37" s="34">
        <f t="shared" si="38"/>
        <v>2929041628</v>
      </c>
      <c r="I37" s="34">
        <f t="shared" si="38"/>
        <v>372952974</v>
      </c>
      <c r="J37" s="34">
        <f t="shared" si="38"/>
        <v>2584429638</v>
      </c>
      <c r="K37" s="30">
        <f t="shared" si="4"/>
        <v>101744780</v>
      </c>
      <c r="L37" s="30">
        <f t="shared" si="5"/>
        <v>269108226</v>
      </c>
      <c r="M37" s="30">
        <f t="shared" si="6"/>
        <v>370853006</v>
      </c>
      <c r="N37" s="30">
        <f t="shared" si="7"/>
        <v>67407880</v>
      </c>
      <c r="O37" s="30">
        <f t="shared" si="8"/>
        <v>3288896920</v>
      </c>
      <c r="P37" s="30">
        <f t="shared" si="9"/>
        <v>76607496</v>
      </c>
      <c r="Q37" s="30">
        <f t="shared" si="10"/>
        <v>67145736</v>
      </c>
      <c r="R37" s="30">
        <f t="shared" si="11"/>
        <v>3298620824</v>
      </c>
      <c r="S37" s="30">
        <f t="shared" si="12"/>
        <v>1924814467</v>
      </c>
      <c r="T37" s="30">
        <f t="shared" si="13"/>
        <v>462803636</v>
      </c>
      <c r="U37" s="30">
        <f t="shared" si="14"/>
        <v>1255173719</v>
      </c>
      <c r="V37" s="30">
        <f t="shared" si="15"/>
        <v>311448192</v>
      </c>
      <c r="W37" s="30">
        <f t="shared" si="16"/>
        <v>1764721719</v>
      </c>
      <c r="X37" s="30">
        <f t="shared" si="17"/>
        <v>1207960599</v>
      </c>
      <c r="Y37" s="30">
        <f t="shared" si="18"/>
        <v>603974240</v>
      </c>
      <c r="Z37" s="30">
        <f t="shared" si="19"/>
        <v>823338982</v>
      </c>
      <c r="AA37" s="30">
        <f t="shared" si="20"/>
        <v>4240843364</v>
      </c>
      <c r="AB37" s="30">
        <f t="shared" si="21"/>
        <v>847143697</v>
      </c>
      <c r="AC37" s="30">
        <f t="shared" si="22"/>
        <v>805446244</v>
      </c>
      <c r="AD37" s="30">
        <f t="shared" si="23"/>
        <v>3453289858</v>
      </c>
      <c r="AE37" s="30">
        <f t="shared" si="24"/>
        <v>5505280</v>
      </c>
      <c r="AF37" s="30">
        <f t="shared" si="25"/>
        <v>4289422995</v>
      </c>
      <c r="AG37" s="34">
        <f>MOD(J36+Y37+M37+'📦 SHA-256 Constants'!C35+AN36,4294967296)</f>
        <v>1056160708</v>
      </c>
      <c r="AH37" s="34">
        <f t="shared" si="26"/>
        <v>3293076523</v>
      </c>
      <c r="AI37" s="30">
        <f t="shared" si="27"/>
        <v>544853894</v>
      </c>
      <c r="AJ37" s="30">
        <f>'📦 SHA-256 Constants'!C35</f>
        <v>338241895</v>
      </c>
      <c r="AK37" s="25" t="s">
        <v>195</v>
      </c>
      <c r="AM37" s="26">
        <v>32</v>
      </c>
      <c r="AN37" s="31">
        <f t="shared" si="29"/>
        <v>1811708987</v>
      </c>
      <c r="AO37" s="32">
        <f t="shared" si="30"/>
        <v>14623232</v>
      </c>
      <c r="AP37" s="32">
        <f t="shared" si="31"/>
        <v>512</v>
      </c>
      <c r="AQ37" s="32">
        <f t="shared" si="32"/>
        <v>1294801380</v>
      </c>
      <c r="AR37" s="32">
        <f t="shared" si="33"/>
        <v>3174080458</v>
      </c>
      <c r="AS37" s="32">
        <f t="shared" si="34"/>
        <v>2941003762</v>
      </c>
      <c r="AT37" s="32">
        <f t="shared" si="35"/>
        <v>2902460354</v>
      </c>
      <c r="AU37" s="32">
        <f t="shared" si="36"/>
        <v>309550438</v>
      </c>
    </row>
    <row r="38" spans="2:47" ht="13.5" customHeight="1" x14ac:dyDescent="0.25">
      <c r="B38" s="35">
        <v>33</v>
      </c>
      <c r="C38" s="31">
        <f t="shared" ref="C38:C69" si="39">MOD(AG38+AH38,4294967296)</f>
        <v>2093443802</v>
      </c>
      <c r="D38" s="31">
        <f t="shared" si="37"/>
        <v>54269935</v>
      </c>
      <c r="E38" s="31">
        <f t="shared" si="37"/>
        <v>3293355928</v>
      </c>
      <c r="F38" s="31">
        <f t="shared" si="37"/>
        <v>227864588</v>
      </c>
      <c r="G38" s="31">
        <f t="shared" ref="G38:G69" si="40">MOD(F37+AG38,4294967296)</f>
        <v>2893818096</v>
      </c>
      <c r="H38" s="31">
        <f t="shared" si="38"/>
        <v>1068809038</v>
      </c>
      <c r="I38" s="31">
        <f t="shared" si="38"/>
        <v>2929041628</v>
      </c>
      <c r="J38" s="31">
        <f t="shared" si="38"/>
        <v>372952974</v>
      </c>
      <c r="K38" s="30">
        <f t="shared" ref="K38:K69" si="41">((MOD(INT(MOD(INT((G37)/1),256)/2^0),2)*MOD(INT(MOD(INT((H37)/1),256)/2^0),2)*1+MOD(INT(MOD(INT((G37)/1),256)/2^1),2)*MOD(INT(MOD(INT((H37)/1),256)/2^1),2)*2+MOD(INT(MOD(INT((G37)/1),256)/2^2),2)*MOD(INT(MOD(INT((H37)/1),256)/2^2),2)*4+MOD(INT(MOD(INT((G37)/1),256)/2^3),2)*MOD(INT(MOD(INT((H37)/1),256)/2^3),2)*8+MOD(INT(MOD(INT((G37)/1),256)/2^4),2)*MOD(INT(MOD(INT((H37)/1),256)/2^4),2)*16+MOD(INT(MOD(INT((G37)/1),256)/2^5),2)*MOD(INT(MOD(INT((H37)/1),256)/2^5),2)*32+MOD(INT(MOD(INT((G37)/1),256)/2^6),2)*MOD(INT(MOD(INT((H37)/1),256)/2^6),2)*64+MOD(INT(MOD(INT((G37)/1),256)/2^7),2)*MOD(INT(MOD(INT((H37)/1),256)/2^7),2)*128)*1+(MOD(INT(MOD(INT((G37)/256),256)/2^0),2)*MOD(INT(MOD(INT((H37)/256),256)/2^0),2)*1+MOD(INT(MOD(INT((G37)/256),256)/2^1),2)*MOD(INT(MOD(INT((H37)/256),256)/2^1),2)*2+MOD(INT(MOD(INT((G37)/256),256)/2^2),2)*MOD(INT(MOD(INT((H37)/256),256)/2^2),2)*4+MOD(INT(MOD(INT((G37)/256),256)/2^3),2)*MOD(INT(MOD(INT((H37)/256),256)/2^3),2)*8+MOD(INT(MOD(INT((G37)/256),256)/2^4),2)*MOD(INT(MOD(INT((H37)/256),256)/2^4),2)*16+MOD(INT(MOD(INT((G37)/256),256)/2^5),2)*MOD(INT(MOD(INT((H37)/256),256)/2^5),2)*32+MOD(INT(MOD(INT((G37)/256),256)/2^6),2)*MOD(INT(MOD(INT((H37)/256),256)/2^6),2)*64+MOD(INT(MOD(INT((G37)/256),256)/2^7),2)*MOD(INT(MOD(INT((H37)/256),256)/2^7),2)*128)*256+(MOD(INT(MOD(INT((G37)/65536),256)/2^0),2)*MOD(INT(MOD(INT((H37)/65536),256)/2^0),2)*1+MOD(INT(MOD(INT((G37)/65536),256)/2^1),2)*MOD(INT(MOD(INT((H37)/65536),256)/2^1),2)*2+MOD(INT(MOD(INT((G37)/65536),256)/2^2),2)*MOD(INT(MOD(INT((H37)/65536),256)/2^2),2)*4+MOD(INT(MOD(INT((G37)/65536),256)/2^3),2)*MOD(INT(MOD(INT((H37)/65536),256)/2^3),2)*8+MOD(INT(MOD(INT((G37)/65536),256)/2^4),2)*MOD(INT(MOD(INT((H37)/65536),256)/2^4),2)*16+MOD(INT(MOD(INT((G37)/65536),256)/2^5),2)*MOD(INT(MOD(INT((H37)/65536),256)/2^5),2)*32+MOD(INT(MOD(INT((G37)/65536),256)/2^6),2)*MOD(INT(MOD(INT((H37)/65536),256)/2^6),2)*64+MOD(INT(MOD(INT((G37)/65536),256)/2^7),2)*MOD(INT(MOD(INT((H37)/65536),256)/2^7),2)*128)*65536+(MOD(INT(MOD(INT((G37)/16777216),256)/2^0),2)*MOD(INT(MOD(INT((H37)/16777216),256)/2^0),2)*1+MOD(INT(MOD(INT((G37)/16777216),256)/2^1),2)*MOD(INT(MOD(INT((H37)/16777216),256)/2^1),2)*2+MOD(INT(MOD(INT((G37)/16777216),256)/2^2),2)*MOD(INT(MOD(INT((H37)/16777216),256)/2^2),2)*4+MOD(INT(MOD(INT((G37)/16777216),256)/2^3),2)*MOD(INT(MOD(INT((H37)/16777216),256)/2^3),2)*8+MOD(INT(MOD(INT((G37)/16777216),256)/2^4),2)*MOD(INT(MOD(INT((H37)/16777216),256)/2^4),2)*16+MOD(INT(MOD(INT((G37)/16777216),256)/2^5),2)*MOD(INT(MOD(INT((H37)/16777216),256)/2^5),2)*32+MOD(INT(MOD(INT((G37)/16777216),256)/2^6),2)*MOD(INT(MOD(INT((H37)/16777216),256)/2^6),2)*64+MOD(INT(MOD(INT((G37)/16777216),256)/2^7),2)*MOD(INT(MOD(INT((H37)/16777216),256)/2^7),2)*128)*16777216)</f>
        <v>781492300</v>
      </c>
      <c r="L38" s="30">
        <f t="shared" ref="L38:L69" si="42">((MOD(INT(MOD(INT(((4294967295-G37))/1),256)/2^0),2)*MOD(INT(MOD(INT((I37)/1),256)/2^0),2)*1+MOD(INT(MOD(INT(((4294967295-G37))/1),256)/2^1),2)*MOD(INT(MOD(INT((I37)/1),256)/2^1),2)*2+MOD(INT(MOD(INT(((4294967295-G37))/1),256)/2^2),2)*MOD(INT(MOD(INT((I37)/1),256)/2^2),2)*4+MOD(INT(MOD(INT(((4294967295-G37))/1),256)/2^3),2)*MOD(INT(MOD(INT((I37)/1),256)/2^3),2)*8+MOD(INT(MOD(INT(((4294967295-G37))/1),256)/2^4),2)*MOD(INT(MOD(INT((I37)/1),256)/2^4),2)*16+MOD(INT(MOD(INT(((4294967295-G37))/1),256)/2^5),2)*MOD(INT(MOD(INT((I37)/1),256)/2^5),2)*32+MOD(INT(MOD(INT(((4294967295-G37))/1),256)/2^6),2)*MOD(INT(MOD(INT((I37)/1),256)/2^6),2)*64+MOD(INT(MOD(INT(((4294967295-G37))/1),256)/2^7),2)*MOD(INT(MOD(INT((I37)/1),256)/2^7),2)*128)*1+(MOD(INT(MOD(INT(((4294967295-G37))/256),256)/2^0),2)*MOD(INT(MOD(INT((I37)/256),256)/2^0),2)*1+MOD(INT(MOD(INT(((4294967295-G37))/256),256)/2^1),2)*MOD(INT(MOD(INT((I37)/256),256)/2^1),2)*2+MOD(INT(MOD(INT(((4294967295-G37))/256),256)/2^2),2)*MOD(INT(MOD(INT((I37)/256),256)/2^2),2)*4+MOD(INT(MOD(INT(((4294967295-G37))/256),256)/2^3),2)*MOD(INT(MOD(INT((I37)/256),256)/2^3),2)*8+MOD(INT(MOD(INT(((4294967295-G37))/256),256)/2^4),2)*MOD(INT(MOD(INT((I37)/256),256)/2^4),2)*16+MOD(INT(MOD(INT(((4294967295-G37))/256),256)/2^5),2)*MOD(INT(MOD(INT((I37)/256),256)/2^5),2)*32+MOD(INT(MOD(INT(((4294967295-G37))/256),256)/2^6),2)*MOD(INT(MOD(INT((I37)/256),256)/2^6),2)*64+MOD(INT(MOD(INT(((4294967295-G37))/256),256)/2^7),2)*MOD(INT(MOD(INT((I37)/256),256)/2^7),2)*128)*256+(MOD(INT(MOD(INT(((4294967295-G37))/65536),256)/2^0),2)*MOD(INT(MOD(INT((I37)/65536),256)/2^0),2)*1+MOD(INT(MOD(INT(((4294967295-G37))/65536),256)/2^1),2)*MOD(INT(MOD(INT((I37)/65536),256)/2^1),2)*2+MOD(INT(MOD(INT(((4294967295-G37))/65536),256)/2^2),2)*MOD(INT(MOD(INT((I37)/65536),256)/2^2),2)*4+MOD(INT(MOD(INT(((4294967295-G37))/65536),256)/2^3),2)*MOD(INT(MOD(INT((I37)/65536),256)/2^3),2)*8+MOD(INT(MOD(INT(((4294967295-G37))/65536),256)/2^4),2)*MOD(INT(MOD(INT((I37)/65536),256)/2^4),2)*16+MOD(INT(MOD(INT(((4294967295-G37))/65536),256)/2^5),2)*MOD(INT(MOD(INT((I37)/65536),256)/2^5),2)*32+MOD(INT(MOD(INT(((4294967295-G37))/65536),256)/2^6),2)*MOD(INT(MOD(INT((I37)/65536),256)/2^6),2)*64+MOD(INT(MOD(INT(((4294967295-G37))/65536),256)/2^7),2)*MOD(INT(MOD(INT((I37)/65536),256)/2^7),2)*128)*65536+(MOD(INT(MOD(INT(((4294967295-G37))/16777216),256)/2^0),2)*MOD(INT(MOD(INT((I37)/16777216),256)/2^0),2)*1+MOD(INT(MOD(INT(((4294967295-G37))/16777216),256)/2^1),2)*MOD(INT(MOD(INT((I37)/16777216),256)/2^1),2)*2+MOD(INT(MOD(INT(((4294967295-G37))/16777216),256)/2^2),2)*MOD(INT(MOD(INT((I37)/16777216),256)/2^2),2)*4+MOD(INT(MOD(INT(((4294967295-G37))/16777216),256)/2^3),2)*MOD(INT(MOD(INT((I37)/16777216),256)/2^3),2)*8+MOD(INT(MOD(INT(((4294967295-G37))/16777216),256)/2^4),2)*MOD(INT(MOD(INT((I37)/16777216),256)/2^4),2)*16+MOD(INT(MOD(INT(((4294967295-G37))/16777216),256)/2^5),2)*MOD(INT(MOD(INT((I37)/16777216),256)/2^5),2)*32+MOD(INT(MOD(INT(((4294967295-G37))/16777216),256)/2^6),2)*MOD(INT(MOD(INT((I37)/16777216),256)/2^6),2)*64+MOD(INT(MOD(INT(((4294967295-G37))/16777216),256)/2^7),2)*MOD(INT(MOD(INT((I37)/16777216),256)/2^7),2)*128)*16777216)</f>
        <v>672896</v>
      </c>
      <c r="M38" s="30">
        <f t="shared" ref="M38:M69" si="43">MOD(K38+L38,4294967296)</f>
        <v>782165196</v>
      </c>
      <c r="N38" s="30">
        <f t="shared" ref="N38:N69" si="44">((MOD(INT(MOD(INT((C37)/1),256)/2^0),2)*MOD(INT(MOD(INT((D37)/1),256)/2^0),2)*1+MOD(INT(MOD(INT((C37)/1),256)/2^1),2)*MOD(INT(MOD(INT((D37)/1),256)/2^1),2)*2+MOD(INT(MOD(INT((C37)/1),256)/2^2),2)*MOD(INT(MOD(INT((D37)/1),256)/2^2),2)*4+MOD(INT(MOD(INT((C37)/1),256)/2^3),2)*MOD(INT(MOD(INT((D37)/1),256)/2^3),2)*8+MOD(INT(MOD(INT((C37)/1),256)/2^4),2)*MOD(INT(MOD(INT((D37)/1),256)/2^4),2)*16+MOD(INT(MOD(INT((C37)/1),256)/2^5),2)*MOD(INT(MOD(INT((D37)/1),256)/2^5),2)*32+MOD(INT(MOD(INT((C37)/1),256)/2^6),2)*MOD(INT(MOD(INT((D37)/1),256)/2^6),2)*64+MOD(INT(MOD(INT((C37)/1),256)/2^7),2)*MOD(INT(MOD(INT((D37)/1),256)/2^7),2)*128)*1+(MOD(INT(MOD(INT((C37)/256),256)/2^0),2)*MOD(INT(MOD(INT((D37)/256),256)/2^0),2)*1+MOD(INT(MOD(INT((C37)/256),256)/2^1),2)*MOD(INT(MOD(INT((D37)/256),256)/2^1),2)*2+MOD(INT(MOD(INT((C37)/256),256)/2^2),2)*MOD(INT(MOD(INT((D37)/256),256)/2^2),2)*4+MOD(INT(MOD(INT((C37)/256),256)/2^3),2)*MOD(INT(MOD(INT((D37)/256),256)/2^3),2)*8+MOD(INT(MOD(INT((C37)/256),256)/2^4),2)*MOD(INT(MOD(INT((D37)/256),256)/2^4),2)*16+MOD(INT(MOD(INT((C37)/256),256)/2^5),2)*MOD(INT(MOD(INT((D37)/256),256)/2^5),2)*32+MOD(INT(MOD(INT((C37)/256),256)/2^6),2)*MOD(INT(MOD(INT((D37)/256),256)/2^6),2)*64+MOD(INT(MOD(INT((C37)/256),256)/2^7),2)*MOD(INT(MOD(INT((D37)/256),256)/2^7),2)*128)*256+(MOD(INT(MOD(INT((C37)/65536),256)/2^0),2)*MOD(INT(MOD(INT((D37)/65536),256)/2^0),2)*1+MOD(INT(MOD(INT((C37)/65536),256)/2^1),2)*MOD(INT(MOD(INT((D37)/65536),256)/2^1),2)*2+MOD(INT(MOD(INT((C37)/65536),256)/2^2),2)*MOD(INT(MOD(INT((D37)/65536),256)/2^2),2)*4+MOD(INT(MOD(INT((C37)/65536),256)/2^3),2)*MOD(INT(MOD(INT((D37)/65536),256)/2^3),2)*8+MOD(INT(MOD(INT((C37)/65536),256)/2^4),2)*MOD(INT(MOD(INT((D37)/65536),256)/2^4),2)*16+MOD(INT(MOD(INT((C37)/65536),256)/2^5),2)*MOD(INT(MOD(INT((D37)/65536),256)/2^5),2)*32+MOD(INT(MOD(INT((C37)/65536),256)/2^6),2)*MOD(INT(MOD(INT((D37)/65536),256)/2^6),2)*64+MOD(INT(MOD(INT((C37)/65536),256)/2^7),2)*MOD(INT(MOD(INT((D37)/65536),256)/2^7),2)*128)*65536+(MOD(INT(MOD(INT((C37)/16777216),256)/2^0),2)*MOD(INT(MOD(INT((D37)/16777216),256)/2^0),2)*1+MOD(INT(MOD(INT((C37)/16777216),256)/2^1),2)*MOD(INT(MOD(INT((D37)/16777216),256)/2^1),2)*2+MOD(INT(MOD(INT((C37)/16777216),256)/2^2),2)*MOD(INT(MOD(INT((D37)/16777216),256)/2^2),2)*4+MOD(INT(MOD(INT((C37)/16777216),256)/2^3),2)*MOD(INT(MOD(INT((D37)/16777216),256)/2^3),2)*8+MOD(INT(MOD(INT((C37)/16777216),256)/2^4),2)*MOD(INT(MOD(INT((D37)/16777216),256)/2^4),2)*16+MOD(INT(MOD(INT((C37)/16777216),256)/2^5),2)*MOD(INT(MOD(INT((D37)/16777216),256)/2^5),2)*32+MOD(INT(MOD(INT((C37)/16777216),256)/2^6),2)*MOD(INT(MOD(INT((D37)/16777216),256)/2^6),2)*64+MOD(INT(MOD(INT((C37)/16777216),256)/2^7),2)*MOD(INT(MOD(INT((D37)/16777216),256)/2^7),2)*128)*16777216)</f>
        <v>792456</v>
      </c>
      <c r="O38" s="30">
        <f t="shared" ref="O38:O69" si="45">((MOD(INT(MOD(INT((C37)/1),256)/2^0),2)*MOD(INT(MOD(INT((E37)/1),256)/2^0),2)*1+MOD(INT(MOD(INT((C37)/1),256)/2^1),2)*MOD(INT(MOD(INT((E37)/1),256)/2^1),2)*2+MOD(INT(MOD(INT((C37)/1),256)/2^2),2)*MOD(INT(MOD(INT((E37)/1),256)/2^2),2)*4+MOD(INT(MOD(INT((C37)/1),256)/2^3),2)*MOD(INT(MOD(INT((E37)/1),256)/2^3),2)*8+MOD(INT(MOD(INT((C37)/1),256)/2^4),2)*MOD(INT(MOD(INT((E37)/1),256)/2^4),2)*16+MOD(INT(MOD(INT((C37)/1),256)/2^5),2)*MOD(INT(MOD(INT((E37)/1),256)/2^5),2)*32+MOD(INT(MOD(INT((C37)/1),256)/2^6),2)*MOD(INT(MOD(INT((E37)/1),256)/2^6),2)*64+MOD(INT(MOD(INT((C37)/1),256)/2^7),2)*MOD(INT(MOD(INT((E37)/1),256)/2^7),2)*128)*1+(MOD(INT(MOD(INT((C37)/256),256)/2^0),2)*MOD(INT(MOD(INT((E37)/256),256)/2^0),2)*1+MOD(INT(MOD(INT((C37)/256),256)/2^1),2)*MOD(INT(MOD(INT((E37)/256),256)/2^1),2)*2+MOD(INT(MOD(INT((C37)/256),256)/2^2),2)*MOD(INT(MOD(INT((E37)/256),256)/2^2),2)*4+MOD(INT(MOD(INT((C37)/256),256)/2^3),2)*MOD(INT(MOD(INT((E37)/256),256)/2^3),2)*8+MOD(INT(MOD(INT((C37)/256),256)/2^4),2)*MOD(INT(MOD(INT((E37)/256),256)/2^4),2)*16+MOD(INT(MOD(INT((C37)/256),256)/2^5),2)*MOD(INT(MOD(INT((E37)/256),256)/2^5),2)*32+MOD(INT(MOD(INT((C37)/256),256)/2^6),2)*MOD(INT(MOD(INT((E37)/256),256)/2^6),2)*64+MOD(INT(MOD(INT((C37)/256),256)/2^7),2)*MOD(INT(MOD(INT((E37)/256),256)/2^7),2)*128)*256+(MOD(INT(MOD(INT((C37)/65536),256)/2^0),2)*MOD(INT(MOD(INT((E37)/65536),256)/2^0),2)*1+MOD(INT(MOD(INT((C37)/65536),256)/2^1),2)*MOD(INT(MOD(INT((E37)/65536),256)/2^1),2)*2+MOD(INT(MOD(INT((C37)/65536),256)/2^2),2)*MOD(INT(MOD(INT((E37)/65536),256)/2^2),2)*4+MOD(INT(MOD(INT((C37)/65536),256)/2^3),2)*MOD(INT(MOD(INT((E37)/65536),256)/2^3),2)*8+MOD(INT(MOD(INT((C37)/65536),256)/2^4),2)*MOD(INT(MOD(INT((E37)/65536),256)/2^4),2)*16+MOD(INT(MOD(INT((C37)/65536),256)/2^5),2)*MOD(INT(MOD(INT((E37)/65536),256)/2^5),2)*32+MOD(INT(MOD(INT((C37)/65536),256)/2^6),2)*MOD(INT(MOD(INT((E37)/65536),256)/2^6),2)*64+MOD(INT(MOD(INT((C37)/65536),256)/2^7),2)*MOD(INT(MOD(INT((E37)/65536),256)/2^7),2)*128)*65536+(MOD(INT(MOD(INT((C37)/16777216),256)/2^0),2)*MOD(INT(MOD(INT((E37)/16777216),256)/2^0),2)*1+MOD(INT(MOD(INT((C37)/16777216),256)/2^1),2)*MOD(INT(MOD(INT((E37)/16777216),256)/2^1),2)*2+MOD(INT(MOD(INT((C37)/16777216),256)/2^2),2)*MOD(INT(MOD(INT((E37)/16777216),256)/2^2),2)*4+MOD(INT(MOD(INT((C37)/16777216),256)/2^3),2)*MOD(INT(MOD(INT((E37)/16777216),256)/2^3),2)*8+MOD(INT(MOD(INT((C37)/16777216),256)/2^4),2)*MOD(INT(MOD(INT((E37)/16777216),256)/2^4),2)*16+MOD(INT(MOD(INT((C37)/16777216),256)/2^5),2)*MOD(INT(MOD(INT((E37)/16777216),256)/2^5),2)*32+MOD(INT(MOD(INT((C37)/16777216),256)/2^6),2)*MOD(INT(MOD(INT((E37)/16777216),256)/2^6),2)*64+MOD(INT(MOD(INT((C37)/16777216),256)/2^7),2)*MOD(INT(MOD(INT((E37)/16777216),256)/2^7),2)*128)*16777216)</f>
        <v>18092044</v>
      </c>
      <c r="P38" s="30">
        <f t="shared" ref="P38:P69" si="46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67407880</v>
      </c>
      <c r="Q38" s="30">
        <f t="shared" ref="Q38:Q69" si="47">((MOD(INT(MOD(INT((N38)/1),256)/2^0),2)*MOD(INT(MOD(INT((P38)/1),256)/2^0),2)*1+MOD(INT(MOD(INT((N38)/1),256)/2^1),2)*MOD(INT(MOD(INT((P38)/1),256)/2^1),2)*2+MOD(INT(MOD(INT((N38)/1),256)/2^2),2)*MOD(INT(MOD(INT((P38)/1),256)/2^2),2)*4+MOD(INT(MOD(INT((N38)/1),256)/2^3),2)*MOD(INT(MOD(INT((P38)/1),256)/2^3),2)*8+MOD(INT(MOD(INT((N38)/1),256)/2^4),2)*MOD(INT(MOD(INT((P38)/1),256)/2^4),2)*16+MOD(INT(MOD(INT((N38)/1),256)/2^5),2)*MOD(INT(MOD(INT((P38)/1),256)/2^5),2)*32+MOD(INT(MOD(INT((N38)/1),256)/2^6),2)*MOD(INT(MOD(INT((P38)/1),256)/2^6),2)*64+MOD(INT(MOD(INT((N38)/1),256)/2^7),2)*MOD(INT(MOD(INT((P38)/1),256)/2^7),2)*128)*1+(MOD(INT(MOD(INT((N38)/256),256)/2^0),2)*MOD(INT(MOD(INT((P38)/256),256)/2^0),2)*1+MOD(INT(MOD(INT((N38)/256),256)/2^1),2)*MOD(INT(MOD(INT((P38)/256),256)/2^1),2)*2+MOD(INT(MOD(INT((N38)/256),256)/2^2),2)*MOD(INT(MOD(INT((P38)/256),256)/2^2),2)*4+MOD(INT(MOD(INT((N38)/256),256)/2^3),2)*MOD(INT(MOD(INT((P38)/256),256)/2^3),2)*8+MOD(INT(MOD(INT((N38)/256),256)/2^4),2)*MOD(INT(MOD(INT((P38)/256),256)/2^4),2)*16+MOD(INT(MOD(INT((N38)/256),256)/2^5),2)*MOD(INT(MOD(INT((P38)/256),256)/2^5),2)*32+MOD(INT(MOD(INT((N38)/256),256)/2^6),2)*MOD(INT(MOD(INT((P38)/256),256)/2^6),2)*64+MOD(INT(MOD(INT((N38)/256),256)/2^7),2)*MOD(INT(MOD(INT((P38)/256),256)/2^7),2)*128)*256+(MOD(INT(MOD(INT((N38)/65536),256)/2^0),2)*MOD(INT(MOD(INT((P38)/65536),256)/2^0),2)*1+MOD(INT(MOD(INT((N38)/65536),256)/2^1),2)*MOD(INT(MOD(INT((P38)/65536),256)/2^1),2)*2+MOD(INT(MOD(INT((N38)/65536),256)/2^2),2)*MOD(INT(MOD(INT((P38)/65536),256)/2^2),2)*4+MOD(INT(MOD(INT((N38)/65536),256)/2^3),2)*MOD(INT(MOD(INT((P38)/65536),256)/2^3),2)*8+MOD(INT(MOD(INT((N38)/65536),256)/2^4),2)*MOD(INT(MOD(INT((P38)/65536),256)/2^4),2)*16+MOD(INT(MOD(INT((N38)/65536),256)/2^5),2)*MOD(INT(MOD(INT((P38)/65536),256)/2^5),2)*32+MOD(INT(MOD(INT((N38)/65536),256)/2^6),2)*MOD(INT(MOD(INT((P38)/65536),256)/2^6),2)*64+MOD(INT(MOD(INT((N38)/65536),256)/2^7),2)*MOD(INT(MOD(INT((P38)/65536),256)/2^7),2)*128)*65536+(MOD(INT(MOD(INT((N38)/16777216),256)/2^0),2)*MOD(INT(MOD(INT((P38)/16777216),256)/2^0),2)*1+MOD(INT(MOD(INT((N38)/16777216),256)/2^1),2)*MOD(INT(MOD(INT((P38)/16777216),256)/2^1),2)*2+MOD(INT(MOD(INT((N38)/16777216),256)/2^2),2)*MOD(INT(MOD(INT((P38)/16777216),256)/2^2),2)*4+MOD(INT(MOD(INT((N38)/16777216),256)/2^3),2)*MOD(INT(MOD(INT((P38)/16777216),256)/2^3),2)*8+MOD(INT(MOD(INT((N38)/16777216),256)/2^4),2)*MOD(INT(MOD(INT((P38)/16777216),256)/2^4),2)*16+MOD(INT(MOD(INT((N38)/16777216),256)/2^5),2)*MOD(INT(MOD(INT((P38)/16777216),256)/2^5),2)*32+MOD(INT(MOD(INT((N38)/16777216),256)/2^6),2)*MOD(INT(MOD(INT((P38)/16777216),256)/2^6),2)*64+MOD(INT(MOD(INT((N38)/16777216),256)/2^7),2)*MOD(INT(MOD(INT((P38)/16777216),256)/2^7),2)*128)*16777216)</f>
        <v>266248</v>
      </c>
      <c r="R38" s="30">
        <f t="shared" ref="R38:R69" si="48">MOD(N38+O38+P38-2*Q38,4294967296)</f>
        <v>85759884</v>
      </c>
      <c r="S38" s="30">
        <f t="shared" ref="S38:S69" si="49">MOD(MOD(G37,2^6)*2^26+INT(G37/2^6),4294967296)</f>
        <v>956224237</v>
      </c>
      <c r="T38" s="30">
        <f t="shared" ref="T38:T69" si="50">MOD(MOD(G37,2^11)*2^21+INT(G37/2^11),4294967296)</f>
        <v>1774712471</v>
      </c>
      <c r="U38" s="30">
        <f t="shared" ref="U38:U69" si="51">MOD(MOD(G37,2^25)*2^7+INT(G37/2^25),4294967296)</f>
        <v>3663570719</v>
      </c>
      <c r="V38" s="30">
        <f t="shared" ref="V38:V69" si="52">((MOD(INT(MOD(INT((S38)/1),256)/2^0),2)*MOD(INT(MOD(INT((T38)/1),256)/2^0),2)*1+MOD(INT(MOD(INT((S38)/1),256)/2^1),2)*MOD(INT(MOD(INT((T38)/1),256)/2^1),2)*2+MOD(INT(MOD(INT((S38)/1),256)/2^2),2)*MOD(INT(MOD(INT((T38)/1),256)/2^2),2)*4+MOD(INT(MOD(INT((S38)/1),256)/2^3),2)*MOD(INT(MOD(INT((T38)/1),256)/2^3),2)*8+MOD(INT(MOD(INT((S38)/1),256)/2^4),2)*MOD(INT(MOD(INT((T38)/1),256)/2^4),2)*16+MOD(INT(MOD(INT((S38)/1),256)/2^5),2)*MOD(INT(MOD(INT((T38)/1),256)/2^5),2)*32+MOD(INT(MOD(INT((S38)/1),256)/2^6),2)*MOD(INT(MOD(INT((T38)/1),256)/2^6),2)*64+MOD(INT(MOD(INT((S38)/1),256)/2^7),2)*MOD(INT(MOD(INT((T38)/1),256)/2^7),2)*128)*1+(MOD(INT(MOD(INT((S38)/256),256)/2^0),2)*MOD(INT(MOD(INT((T38)/256),256)/2^0),2)*1+MOD(INT(MOD(INT((S38)/256),256)/2^1),2)*MOD(INT(MOD(INT((T38)/256),256)/2^1),2)*2+MOD(INT(MOD(INT((S38)/256),256)/2^2),2)*MOD(INT(MOD(INT((T38)/256),256)/2^2),2)*4+MOD(INT(MOD(INT((S38)/256),256)/2^3),2)*MOD(INT(MOD(INT((T38)/256),256)/2^3),2)*8+MOD(INT(MOD(INT((S38)/256),256)/2^4),2)*MOD(INT(MOD(INT((T38)/256),256)/2^4),2)*16+MOD(INT(MOD(INT((S38)/256),256)/2^5),2)*MOD(INT(MOD(INT((T38)/256),256)/2^5),2)*32+MOD(INT(MOD(INT((S38)/256),256)/2^6),2)*MOD(INT(MOD(INT((T38)/256),256)/2^6),2)*64+MOD(INT(MOD(INT((S38)/256),256)/2^7),2)*MOD(INT(MOD(INT((T38)/256),256)/2^7),2)*128)*256+(MOD(INT(MOD(INT((S38)/65536),256)/2^0),2)*MOD(INT(MOD(INT((T38)/65536),256)/2^0),2)*1+MOD(INT(MOD(INT((S38)/65536),256)/2^1),2)*MOD(INT(MOD(INT((T38)/65536),256)/2^1),2)*2+MOD(INT(MOD(INT((S38)/65536),256)/2^2),2)*MOD(INT(MOD(INT((T38)/65536),256)/2^2),2)*4+MOD(INT(MOD(INT((S38)/65536),256)/2^3),2)*MOD(INT(MOD(INT((T38)/65536),256)/2^3),2)*8+MOD(INT(MOD(INT((S38)/65536),256)/2^4),2)*MOD(INT(MOD(INT((T38)/65536),256)/2^4),2)*16+MOD(INT(MOD(INT((S38)/65536),256)/2^5),2)*MOD(INT(MOD(INT((T38)/65536),256)/2^5),2)*32+MOD(INT(MOD(INT((S38)/65536),256)/2^6),2)*MOD(INT(MOD(INT((T38)/65536),256)/2^6),2)*64+MOD(INT(MOD(INT((S38)/65536),256)/2^7),2)*MOD(INT(MOD(INT((T38)/65536),256)/2^7),2)*128)*65536+(MOD(INT(MOD(INT((S38)/16777216),256)/2^0),2)*MOD(INT(MOD(INT((T38)/16777216),256)/2^0),2)*1+MOD(INT(MOD(INT((S38)/16777216),256)/2^1),2)*MOD(INT(MOD(INT((T38)/16777216),256)/2^1),2)*2+MOD(INT(MOD(INT((S38)/16777216),256)/2^2),2)*MOD(INT(MOD(INT((T38)/16777216),256)/2^2),2)*4+MOD(INT(MOD(INT((S38)/16777216),256)/2^3),2)*MOD(INT(MOD(INT((T38)/16777216),256)/2^3),2)*8+MOD(INT(MOD(INT((S38)/16777216),256)/2^4),2)*MOD(INT(MOD(INT((T38)/16777216),256)/2^4),2)*16+MOD(INT(MOD(INT((S38)/16777216),256)/2^5),2)*MOD(INT(MOD(INT((T38)/16777216),256)/2^5),2)*32+MOD(INT(MOD(INT((S38)/16777216),256)/2^6),2)*MOD(INT(MOD(INT((T38)/16777216),256)/2^6),2)*64+MOD(INT(MOD(INT((S38)/16777216),256)/2^7),2)*MOD(INT(MOD(INT((T38)/16777216),256)/2^7),2)*128)*16777216)</f>
        <v>684118661</v>
      </c>
      <c r="W38" s="30">
        <f t="shared" ref="W38:W69" si="53">MOD(S38+T38-2*V38,4294967296)</f>
        <v>1362699386</v>
      </c>
      <c r="X38" s="30">
        <f t="shared" ref="X38:X69" si="54">((MOD(INT(MOD(INT((W38)/1),256)/2^0),2)*MOD(INT(MOD(INT((U38)/1),256)/2^0),2)*1+MOD(INT(MOD(INT((W38)/1),256)/2^1),2)*MOD(INT(MOD(INT((U38)/1),256)/2^1),2)*2+MOD(INT(MOD(INT((W38)/1),256)/2^2),2)*MOD(INT(MOD(INT((U38)/1),256)/2^2),2)*4+MOD(INT(MOD(INT((W38)/1),256)/2^3),2)*MOD(INT(MOD(INT((U38)/1),256)/2^3),2)*8+MOD(INT(MOD(INT((W38)/1),256)/2^4),2)*MOD(INT(MOD(INT((U38)/1),256)/2^4),2)*16+MOD(INT(MOD(INT((W38)/1),256)/2^5),2)*MOD(INT(MOD(INT((U38)/1),256)/2^5),2)*32+MOD(INT(MOD(INT((W38)/1),256)/2^6),2)*MOD(INT(MOD(INT((U38)/1),256)/2^6),2)*64+MOD(INT(MOD(INT((W38)/1),256)/2^7),2)*MOD(INT(MOD(INT((U38)/1),256)/2^7),2)*128)*1+(MOD(INT(MOD(INT((W38)/256),256)/2^0),2)*MOD(INT(MOD(INT((U38)/256),256)/2^0),2)*1+MOD(INT(MOD(INT((W38)/256),256)/2^1),2)*MOD(INT(MOD(INT((U38)/256),256)/2^1),2)*2+MOD(INT(MOD(INT((W38)/256),256)/2^2),2)*MOD(INT(MOD(INT((U38)/256),256)/2^2),2)*4+MOD(INT(MOD(INT((W38)/256),256)/2^3),2)*MOD(INT(MOD(INT((U38)/256),256)/2^3),2)*8+MOD(INT(MOD(INT((W38)/256),256)/2^4),2)*MOD(INT(MOD(INT((U38)/256),256)/2^4),2)*16+MOD(INT(MOD(INT((W38)/256),256)/2^5),2)*MOD(INT(MOD(INT((U38)/256),256)/2^5),2)*32+MOD(INT(MOD(INT((W38)/256),256)/2^6),2)*MOD(INT(MOD(INT((U38)/256),256)/2^6),2)*64+MOD(INT(MOD(INT((W38)/256),256)/2^7),2)*MOD(INT(MOD(INT((U38)/256),256)/2^7),2)*128)*256+(MOD(INT(MOD(INT((W38)/65536),256)/2^0),2)*MOD(INT(MOD(INT((U38)/65536),256)/2^0),2)*1+MOD(INT(MOD(INT((W38)/65536),256)/2^1),2)*MOD(INT(MOD(INT((U38)/65536),256)/2^1),2)*2+MOD(INT(MOD(INT((W38)/65536),256)/2^2),2)*MOD(INT(MOD(INT((U38)/65536),256)/2^2),2)*4+MOD(INT(MOD(INT((W38)/65536),256)/2^3),2)*MOD(INT(MOD(INT((U38)/65536),256)/2^3),2)*8+MOD(INT(MOD(INT((W38)/65536),256)/2^4),2)*MOD(INT(MOD(INT((U38)/65536),256)/2^4),2)*16+MOD(INT(MOD(INT((W38)/65536),256)/2^5),2)*MOD(INT(MOD(INT((U38)/65536),256)/2^5),2)*32+MOD(INT(MOD(INT((W38)/65536),256)/2^6),2)*MOD(INT(MOD(INT((U38)/65536),256)/2^6),2)*64+MOD(INT(MOD(INT((W38)/65536),256)/2^7),2)*MOD(INT(MOD(INT((U38)/65536),256)/2^7),2)*128)*65536+(MOD(INT(MOD(INT((W38)/16777216),256)/2^0),2)*MOD(INT(MOD(INT((U38)/16777216),256)/2^0),2)*1+MOD(INT(MOD(INT((W38)/16777216),256)/2^1),2)*MOD(INT(MOD(INT((U38)/16777216),256)/2^1),2)*2+MOD(INT(MOD(INT((W38)/16777216),256)/2^2),2)*MOD(INT(MOD(INT((U38)/16777216),256)/2^2),2)*4+MOD(INT(MOD(INT((W38)/16777216),256)/2^3),2)*MOD(INT(MOD(INT((U38)/16777216),256)/2^3),2)*8+MOD(INT(MOD(INT((W38)/16777216),256)/2^4),2)*MOD(INT(MOD(INT((U38)/16777216),256)/2^4),2)*16+MOD(INT(MOD(INT((W38)/16777216),256)/2^5),2)*MOD(INT(MOD(INT((U38)/16777216),256)/2^5),2)*32+MOD(INT(MOD(INT((W38)/16777216),256)/2^6),2)*MOD(INT(MOD(INT((U38)/16777216),256)/2^6),2)*64+MOD(INT(MOD(INT((W38)/16777216),256)/2^7),2)*MOD(INT(MOD(INT((U38)/16777216),256)/2^7),2)*128)*16777216)</f>
        <v>1343824922</v>
      </c>
      <c r="Y38" s="30">
        <f t="shared" ref="Y38:Y69" si="55">MOD(W38+U38-2*X38,4294967296)</f>
        <v>2338620261</v>
      </c>
      <c r="Z38" s="30">
        <f t="shared" ref="Z38:Z69" si="56">MOD(MOD(C37,2^2)*2^30+INT(C37/2^2),4294967296)</f>
        <v>3234792955</v>
      </c>
      <c r="AA38" s="30">
        <f t="shared" ref="AA38:AA69" si="57">MOD(MOD(C37,2^13)*2^19+INT(C37/2^13),4294967296)</f>
        <v>3212319200</v>
      </c>
      <c r="AB38" s="30">
        <f t="shared" ref="AB38:AB69" si="58">MOD(MOD(C37,2^22)*2^10+INT(C37/2^22),4294967296)</f>
        <v>4032805900</v>
      </c>
      <c r="AC38" s="30">
        <f t="shared" ref="AC38:AC69" si="59">((MOD(INT(MOD(INT((Z38)/1),256)/2^0),2)*MOD(INT(MOD(INT((AA38)/1),256)/2^0),2)*1+MOD(INT(MOD(INT((Z38)/1),256)/2^1),2)*MOD(INT(MOD(INT((AA38)/1),256)/2^1),2)*2+MOD(INT(MOD(INT((Z38)/1),256)/2^2),2)*MOD(INT(MOD(INT((AA38)/1),256)/2^2),2)*4+MOD(INT(MOD(INT((Z38)/1),256)/2^3),2)*MOD(INT(MOD(INT((AA38)/1),256)/2^3),2)*8+MOD(INT(MOD(INT((Z38)/1),256)/2^4),2)*MOD(INT(MOD(INT((AA38)/1),256)/2^4),2)*16+MOD(INT(MOD(INT((Z38)/1),256)/2^5),2)*MOD(INT(MOD(INT((AA38)/1),256)/2^5),2)*32+MOD(INT(MOD(INT((Z38)/1),256)/2^6),2)*MOD(INT(MOD(INT((AA38)/1),256)/2^6),2)*64+MOD(INT(MOD(INT((Z38)/1),256)/2^7),2)*MOD(INT(MOD(INT((AA38)/1),256)/2^7),2)*128)*1+(MOD(INT(MOD(INT((Z38)/256),256)/2^0),2)*MOD(INT(MOD(INT((AA38)/256),256)/2^0),2)*1+MOD(INT(MOD(INT((Z38)/256),256)/2^1),2)*MOD(INT(MOD(INT((AA38)/256),256)/2^1),2)*2+MOD(INT(MOD(INT((Z38)/256),256)/2^2),2)*MOD(INT(MOD(INT((AA38)/256),256)/2^2),2)*4+MOD(INT(MOD(INT((Z38)/256),256)/2^3),2)*MOD(INT(MOD(INT((AA38)/256),256)/2^3),2)*8+MOD(INT(MOD(INT((Z38)/256),256)/2^4),2)*MOD(INT(MOD(INT((AA38)/256),256)/2^4),2)*16+MOD(INT(MOD(INT((Z38)/256),256)/2^5),2)*MOD(INT(MOD(INT((AA38)/256),256)/2^5),2)*32+MOD(INT(MOD(INT((Z38)/256),256)/2^6),2)*MOD(INT(MOD(INT((AA38)/256),256)/2^6),2)*64+MOD(INT(MOD(INT((Z38)/256),256)/2^7),2)*MOD(INT(MOD(INT((AA38)/256),256)/2^7),2)*128)*256+(MOD(INT(MOD(INT((Z38)/65536),256)/2^0),2)*MOD(INT(MOD(INT((AA38)/65536),256)/2^0),2)*1+MOD(INT(MOD(INT((Z38)/65536),256)/2^1),2)*MOD(INT(MOD(INT((AA38)/65536),256)/2^1),2)*2+MOD(INT(MOD(INT((Z38)/65536),256)/2^2),2)*MOD(INT(MOD(INT((AA38)/65536),256)/2^2),2)*4+MOD(INT(MOD(INT((Z38)/65536),256)/2^3),2)*MOD(INT(MOD(INT((AA38)/65536),256)/2^3),2)*8+MOD(INT(MOD(INT((Z38)/65536),256)/2^4),2)*MOD(INT(MOD(INT((AA38)/65536),256)/2^4),2)*16+MOD(INT(MOD(INT((Z38)/65536),256)/2^5),2)*MOD(INT(MOD(INT((AA38)/65536),256)/2^5),2)*32+MOD(INT(MOD(INT((Z38)/65536),256)/2^6),2)*MOD(INT(MOD(INT((AA38)/65536),256)/2^6),2)*64+MOD(INT(MOD(INT((Z38)/65536),256)/2^7),2)*MOD(INT(MOD(INT((AA38)/65536),256)/2^7),2)*128)*65536+(MOD(INT(MOD(INT((Z38)/16777216),256)/2^0),2)*MOD(INT(MOD(INT((AA38)/16777216),256)/2^0),2)*1+MOD(INT(MOD(INT((Z38)/16777216),256)/2^1),2)*MOD(INT(MOD(INT((AA38)/16777216),256)/2^1),2)*2+MOD(INT(MOD(INT((Z38)/16777216),256)/2^2),2)*MOD(INT(MOD(INT((AA38)/16777216),256)/2^2),2)*4+MOD(INT(MOD(INT((Z38)/16777216),256)/2^3),2)*MOD(INT(MOD(INT((AA38)/16777216),256)/2^3),2)*8+MOD(INT(MOD(INT((Z38)/16777216),256)/2^4),2)*MOD(INT(MOD(INT((AA38)/16777216),256)/2^4),2)*16+MOD(INT(MOD(INT((Z38)/16777216),256)/2^5),2)*MOD(INT(MOD(INT((AA38)/16777216),256)/2^5),2)*32+MOD(INT(MOD(INT((Z38)/16777216),256)/2^6),2)*MOD(INT(MOD(INT((AA38)/16777216),256)/2^6),2)*64+MOD(INT(MOD(INT((Z38)/16777216),256)/2^7),2)*MOD(INT(MOD(INT((AA38)/16777216),256)/2^7),2)*128)*16777216)</f>
        <v>2152202720</v>
      </c>
      <c r="AD38" s="30">
        <f t="shared" ref="AD38:AD69" si="60">MOD(Z38+AA38-2*AC38,4294967296)</f>
        <v>2142706715</v>
      </c>
      <c r="AE38" s="30">
        <f t="shared" ref="AE38:AE69" si="61">((MOD(INT(MOD(INT((AD38)/1),256)/2^0),2)*MOD(INT(MOD(INT((AB38)/1),256)/2^0),2)*1+MOD(INT(MOD(INT((AD38)/1),256)/2^1),2)*MOD(INT(MOD(INT((AB38)/1),256)/2^1),2)*2+MOD(INT(MOD(INT((AD38)/1),256)/2^2),2)*MOD(INT(MOD(INT((AB38)/1),256)/2^2),2)*4+MOD(INT(MOD(INT((AD38)/1),256)/2^3),2)*MOD(INT(MOD(INT((AB38)/1),256)/2^3),2)*8+MOD(INT(MOD(INT((AD38)/1),256)/2^4),2)*MOD(INT(MOD(INT((AB38)/1),256)/2^4),2)*16+MOD(INT(MOD(INT((AD38)/1),256)/2^5),2)*MOD(INT(MOD(INT((AB38)/1),256)/2^5),2)*32+MOD(INT(MOD(INT((AD38)/1),256)/2^6),2)*MOD(INT(MOD(INT((AB38)/1),256)/2^6),2)*64+MOD(INT(MOD(INT((AD38)/1),256)/2^7),2)*MOD(INT(MOD(INT((AB38)/1),256)/2^7),2)*128)*1+(MOD(INT(MOD(INT((AD38)/256),256)/2^0),2)*MOD(INT(MOD(INT((AB38)/256),256)/2^0),2)*1+MOD(INT(MOD(INT((AD38)/256),256)/2^1),2)*MOD(INT(MOD(INT((AB38)/256),256)/2^1),2)*2+MOD(INT(MOD(INT((AD38)/256),256)/2^2),2)*MOD(INT(MOD(INT((AB38)/256),256)/2^2),2)*4+MOD(INT(MOD(INT((AD38)/256),256)/2^3),2)*MOD(INT(MOD(INT((AB38)/256),256)/2^3),2)*8+MOD(INT(MOD(INT((AD38)/256),256)/2^4),2)*MOD(INT(MOD(INT((AB38)/256),256)/2^4),2)*16+MOD(INT(MOD(INT((AD38)/256),256)/2^5),2)*MOD(INT(MOD(INT((AB38)/256),256)/2^5),2)*32+MOD(INT(MOD(INT((AD38)/256),256)/2^6),2)*MOD(INT(MOD(INT((AB38)/256),256)/2^6),2)*64+MOD(INT(MOD(INT((AD38)/256),256)/2^7),2)*MOD(INT(MOD(INT((AB38)/256),256)/2^7),2)*128)*256+(MOD(INT(MOD(INT((AD38)/65536),256)/2^0),2)*MOD(INT(MOD(INT((AB38)/65536),256)/2^0),2)*1+MOD(INT(MOD(INT((AD38)/65536),256)/2^1),2)*MOD(INT(MOD(INT((AB38)/65536),256)/2^1),2)*2+MOD(INT(MOD(INT((AD38)/65536),256)/2^2),2)*MOD(INT(MOD(INT((AB38)/65536),256)/2^2),2)*4+MOD(INT(MOD(INT((AD38)/65536),256)/2^3),2)*MOD(INT(MOD(INT((AB38)/65536),256)/2^3),2)*8+MOD(INT(MOD(INT((AD38)/65536),256)/2^4),2)*MOD(INT(MOD(INT((AB38)/65536),256)/2^4),2)*16+MOD(INT(MOD(INT((AD38)/65536),256)/2^5),2)*MOD(INT(MOD(INT((AB38)/65536),256)/2^5),2)*32+MOD(INT(MOD(INT((AD38)/65536),256)/2^6),2)*MOD(INT(MOD(INT((AB38)/65536),256)/2^6),2)*64+MOD(INT(MOD(INT((AD38)/65536),256)/2^7),2)*MOD(INT(MOD(INT((AB38)/65536),256)/2^7),2)*128)*65536+(MOD(INT(MOD(INT((AD38)/16777216),256)/2^0),2)*MOD(INT(MOD(INT((AB38)/16777216),256)/2^0),2)*1+MOD(INT(MOD(INT((AD38)/16777216),256)/2^1),2)*MOD(INT(MOD(INT((AB38)/16777216),256)/2^1),2)*2+MOD(INT(MOD(INT((AD38)/16777216),256)/2^2),2)*MOD(INT(MOD(INT((AB38)/16777216),256)/2^2),2)*4+MOD(INT(MOD(INT((AD38)/16777216),256)/2^3),2)*MOD(INT(MOD(INT((AB38)/16777216),256)/2^3),2)*8+MOD(INT(MOD(INT((AD38)/16777216),256)/2^4),2)*MOD(INT(MOD(INT((AB38)/16777216),256)/2^4),2)*16+MOD(INT(MOD(INT((AD38)/16777216),256)/2^5),2)*MOD(INT(MOD(INT((AB38)/16777216),256)/2^5),2)*32+MOD(INT(MOD(INT((AD38)/16777216),256)/2^6),2)*MOD(INT(MOD(INT((AB38)/16777216),256)/2^6),2)*64+MOD(INT(MOD(INT((AD38)/16777216),256)/2^7),2)*MOD(INT(MOD(INT((AB38)/16777216),256)/2^7),2)*128)*16777216)</f>
        <v>1880562696</v>
      </c>
      <c r="AF38" s="30">
        <f t="shared" ref="AF38:AF69" si="62">MOD(AD38+AB38-2*AE38,4294967296)</f>
        <v>2414387223</v>
      </c>
      <c r="AG38" s="31">
        <f>MOD(J37+Y38+M38+'📦 SHA-256 Constants'!C36+AN37,4294967296)</f>
        <v>3888263991</v>
      </c>
      <c r="AH38" s="31">
        <f t="shared" ref="AH38:AH69" si="63">MOD(AF38+R38,4294967296)</f>
        <v>2500147107</v>
      </c>
      <c r="AI38" s="30">
        <f t="shared" ref="AI38:AI69" si="64">AN37</f>
        <v>1811708987</v>
      </c>
      <c r="AJ38" s="30">
        <f>'📦 SHA-256 Constants'!C36</f>
        <v>666307205</v>
      </c>
      <c r="AK38" s="25" t="s">
        <v>196</v>
      </c>
      <c r="AM38" s="26">
        <v>33</v>
      </c>
      <c r="AN38" s="31">
        <f t="shared" si="29"/>
        <v>203464011</v>
      </c>
      <c r="AO38" s="32">
        <f t="shared" si="30"/>
        <v>3047843234</v>
      </c>
      <c r="AP38" s="32">
        <f t="shared" si="31"/>
        <v>3020039424</v>
      </c>
      <c r="AQ38" s="32">
        <f t="shared" si="32"/>
        <v>458918597</v>
      </c>
      <c r="AR38" s="32">
        <f t="shared" si="33"/>
        <v>3888320572</v>
      </c>
      <c r="AS38" s="32">
        <f t="shared" si="34"/>
        <v>972080143</v>
      </c>
      <c r="AT38" s="32">
        <f t="shared" si="35"/>
        <v>566231052</v>
      </c>
      <c r="AU38" s="32">
        <f t="shared" si="36"/>
        <v>3728460352</v>
      </c>
    </row>
    <row r="39" spans="2:47" ht="13.5" customHeight="1" x14ac:dyDescent="0.25">
      <c r="B39" s="35">
        <v>34</v>
      </c>
      <c r="C39" s="31">
        <f t="shared" si="39"/>
        <v>2054271781</v>
      </c>
      <c r="D39" s="31">
        <f t="shared" si="37"/>
        <v>2093443802</v>
      </c>
      <c r="E39" s="31">
        <f t="shared" si="37"/>
        <v>54269935</v>
      </c>
      <c r="F39" s="31">
        <f t="shared" si="37"/>
        <v>3293355928</v>
      </c>
      <c r="G39" s="31">
        <f t="shared" si="40"/>
        <v>1869688281</v>
      </c>
      <c r="H39" s="31">
        <f t="shared" si="38"/>
        <v>2893818096</v>
      </c>
      <c r="I39" s="31">
        <f t="shared" si="38"/>
        <v>1068809038</v>
      </c>
      <c r="J39" s="31">
        <f t="shared" si="38"/>
        <v>2929041628</v>
      </c>
      <c r="K39" s="30">
        <f t="shared" si="41"/>
        <v>741615680</v>
      </c>
      <c r="L39" s="30">
        <f t="shared" si="42"/>
        <v>42041356</v>
      </c>
      <c r="M39" s="30">
        <f t="shared" si="43"/>
        <v>783657036</v>
      </c>
      <c r="N39" s="30">
        <f t="shared" si="44"/>
        <v>262858</v>
      </c>
      <c r="O39" s="30">
        <f t="shared" si="45"/>
        <v>1145309848</v>
      </c>
      <c r="P39" s="30">
        <f t="shared" si="46"/>
        <v>792456</v>
      </c>
      <c r="Q39" s="30">
        <f t="shared" si="47"/>
        <v>262792</v>
      </c>
      <c r="R39" s="30">
        <f t="shared" si="48"/>
        <v>1145839578</v>
      </c>
      <c r="S39" s="30">
        <f t="shared" si="49"/>
        <v>3266441379</v>
      </c>
      <c r="T39" s="30">
        <f t="shared" si="50"/>
        <v>504729477</v>
      </c>
      <c r="U39" s="30">
        <f t="shared" si="51"/>
        <v>1041528918</v>
      </c>
      <c r="V39" s="30">
        <f t="shared" si="52"/>
        <v>34701441</v>
      </c>
      <c r="W39" s="30">
        <f t="shared" si="53"/>
        <v>3701767974</v>
      </c>
      <c r="X39" s="30">
        <f t="shared" si="54"/>
        <v>470054918</v>
      </c>
      <c r="Y39" s="30">
        <f t="shared" si="55"/>
        <v>3803187056</v>
      </c>
      <c r="Z39" s="30">
        <f t="shared" si="56"/>
        <v>2670844598</v>
      </c>
      <c r="AA39" s="30">
        <f t="shared" si="57"/>
        <v>1456727611</v>
      </c>
      <c r="AB39" s="30">
        <f t="shared" si="58"/>
        <v>497773043</v>
      </c>
      <c r="AC39" s="30">
        <f t="shared" si="59"/>
        <v>370262578</v>
      </c>
      <c r="AD39" s="30">
        <f t="shared" si="60"/>
        <v>3387047053</v>
      </c>
      <c r="AE39" s="30">
        <f t="shared" si="61"/>
        <v>161622145</v>
      </c>
      <c r="AF39" s="30">
        <f t="shared" si="62"/>
        <v>3561575806</v>
      </c>
      <c r="AG39" s="31">
        <f>MOD(J38+Y39+M39+'📦 SHA-256 Constants'!C37+AN38,4294967296)</f>
        <v>1641823693</v>
      </c>
      <c r="AH39" s="31">
        <f t="shared" si="63"/>
        <v>412448088</v>
      </c>
      <c r="AI39" s="30">
        <f t="shared" si="64"/>
        <v>203464011</v>
      </c>
      <c r="AJ39" s="30">
        <f>'📦 SHA-256 Constants'!C37</f>
        <v>773529912</v>
      </c>
      <c r="AK39" s="25" t="s">
        <v>197</v>
      </c>
      <c r="AM39" s="26">
        <v>34</v>
      </c>
      <c r="AN39" s="31">
        <f t="shared" si="29"/>
        <v>573055580</v>
      </c>
      <c r="AO39" s="32">
        <f t="shared" si="30"/>
        <v>4114626492</v>
      </c>
      <c r="AP39" s="32">
        <f t="shared" si="31"/>
        <v>4110426116</v>
      </c>
      <c r="AQ39" s="32">
        <f t="shared" si="32"/>
        <v>383640693</v>
      </c>
      <c r="AR39" s="32">
        <f t="shared" si="33"/>
        <v>1042134526</v>
      </c>
      <c r="AS39" s="32">
        <f t="shared" si="34"/>
        <v>2408017279</v>
      </c>
      <c r="AT39" s="32">
        <f t="shared" si="35"/>
        <v>235218302</v>
      </c>
      <c r="AU39" s="32">
        <f t="shared" si="36"/>
        <v>2977965982</v>
      </c>
    </row>
    <row r="40" spans="2:47" ht="13.5" customHeight="1" x14ac:dyDescent="0.25">
      <c r="B40" s="35">
        <v>35</v>
      </c>
      <c r="C40" s="31">
        <f t="shared" si="39"/>
        <v>1020661963</v>
      </c>
      <c r="D40" s="31">
        <f t="shared" si="37"/>
        <v>2054271781</v>
      </c>
      <c r="E40" s="31">
        <f t="shared" si="37"/>
        <v>2093443802</v>
      </c>
      <c r="F40" s="31">
        <f t="shared" si="37"/>
        <v>54269935</v>
      </c>
      <c r="G40" s="31">
        <f t="shared" si="40"/>
        <v>2234667463</v>
      </c>
      <c r="H40" s="31">
        <f t="shared" si="38"/>
        <v>1869688281</v>
      </c>
      <c r="I40" s="31">
        <f t="shared" si="38"/>
        <v>2893818096</v>
      </c>
      <c r="J40" s="31">
        <f t="shared" si="38"/>
        <v>1068809038</v>
      </c>
      <c r="K40" s="30">
        <f t="shared" si="41"/>
        <v>745547984</v>
      </c>
      <c r="L40" s="30">
        <f t="shared" si="42"/>
        <v>277123590</v>
      </c>
      <c r="M40" s="30">
        <f t="shared" si="43"/>
        <v>1022671574</v>
      </c>
      <c r="N40" s="30">
        <f t="shared" si="44"/>
        <v>2017534464</v>
      </c>
      <c r="O40" s="30">
        <f t="shared" si="45"/>
        <v>36705061</v>
      </c>
      <c r="P40" s="30">
        <f t="shared" si="46"/>
        <v>262858</v>
      </c>
      <c r="Q40" s="30">
        <f t="shared" si="47"/>
        <v>512</v>
      </c>
      <c r="R40" s="30">
        <f t="shared" si="48"/>
        <v>2054501359</v>
      </c>
      <c r="S40" s="30">
        <f t="shared" si="49"/>
        <v>1706935479</v>
      </c>
      <c r="T40" s="30">
        <f t="shared" si="50"/>
        <v>3140349477</v>
      </c>
      <c r="U40" s="30">
        <f t="shared" si="51"/>
        <v>3096898743</v>
      </c>
      <c r="V40" s="30">
        <f t="shared" si="52"/>
        <v>556647461</v>
      </c>
      <c r="W40" s="30">
        <f t="shared" si="53"/>
        <v>3733990034</v>
      </c>
      <c r="X40" s="30">
        <f t="shared" si="54"/>
        <v>2559584402</v>
      </c>
      <c r="Y40" s="30">
        <f t="shared" si="55"/>
        <v>1711719973</v>
      </c>
      <c r="Z40" s="30">
        <f t="shared" si="56"/>
        <v>1587309769</v>
      </c>
      <c r="AA40" s="30">
        <f t="shared" si="57"/>
        <v>2569786253</v>
      </c>
      <c r="AB40" s="30">
        <f t="shared" si="58"/>
        <v>3335296489</v>
      </c>
      <c r="AC40" s="30">
        <f t="shared" si="59"/>
        <v>403193993</v>
      </c>
      <c r="AD40" s="30">
        <f t="shared" si="60"/>
        <v>3350708036</v>
      </c>
      <c r="AE40" s="30">
        <f t="shared" si="61"/>
        <v>3330577728</v>
      </c>
      <c r="AF40" s="30">
        <f t="shared" si="62"/>
        <v>24849069</v>
      </c>
      <c r="AG40" s="31">
        <f>MOD(J39+Y40+M40+'📦 SHA-256 Constants'!C38+AN39,4294967296)</f>
        <v>3236278831</v>
      </c>
      <c r="AH40" s="31">
        <f t="shared" si="63"/>
        <v>2079350428</v>
      </c>
      <c r="AI40" s="30">
        <f t="shared" si="64"/>
        <v>573055580</v>
      </c>
      <c r="AJ40" s="30">
        <f>'📦 SHA-256 Constants'!C38</f>
        <v>1294757372</v>
      </c>
      <c r="AK40" s="25" t="s">
        <v>198</v>
      </c>
      <c r="AM40" s="26">
        <v>35</v>
      </c>
      <c r="AN40" s="31">
        <f t="shared" si="29"/>
        <v>3994735195</v>
      </c>
      <c r="AO40" s="32">
        <f t="shared" si="30"/>
        <v>375744249</v>
      </c>
      <c r="AP40" s="32">
        <f t="shared" si="31"/>
        <v>371213480</v>
      </c>
      <c r="AQ40" s="32">
        <f t="shared" si="32"/>
        <v>3474048452</v>
      </c>
      <c r="AR40" s="32">
        <f t="shared" si="33"/>
        <v>1319470608</v>
      </c>
      <c r="AS40" s="32">
        <f t="shared" si="34"/>
        <v>329867652</v>
      </c>
      <c r="AT40" s="32">
        <f t="shared" si="35"/>
        <v>44105728</v>
      </c>
      <c r="AU40" s="32">
        <f t="shared" si="36"/>
        <v>1561325491</v>
      </c>
    </row>
    <row r="41" spans="2:47" ht="13.5" customHeight="1" x14ac:dyDescent="0.25">
      <c r="B41" s="35">
        <v>36</v>
      </c>
      <c r="C41" s="31">
        <f t="shared" si="39"/>
        <v>4233548472</v>
      </c>
      <c r="D41" s="31">
        <f t="shared" si="37"/>
        <v>1020661963</v>
      </c>
      <c r="E41" s="31">
        <f t="shared" si="37"/>
        <v>2054271781</v>
      </c>
      <c r="F41" s="31">
        <f t="shared" si="37"/>
        <v>2093443802</v>
      </c>
      <c r="G41" s="31">
        <f t="shared" si="40"/>
        <v>1905027435</v>
      </c>
      <c r="H41" s="31">
        <f t="shared" si="38"/>
        <v>2234667463</v>
      </c>
      <c r="I41" s="31">
        <f t="shared" si="38"/>
        <v>1869688281</v>
      </c>
      <c r="J41" s="31">
        <f t="shared" si="38"/>
        <v>2893818096</v>
      </c>
      <c r="K41" s="30">
        <f t="shared" si="41"/>
        <v>87032257</v>
      </c>
      <c r="L41" s="30">
        <f t="shared" si="42"/>
        <v>676079664</v>
      </c>
      <c r="M41" s="30">
        <f t="shared" si="43"/>
        <v>763111921</v>
      </c>
      <c r="N41" s="30">
        <f t="shared" si="44"/>
        <v>944771073</v>
      </c>
      <c r="O41" s="30">
        <f t="shared" si="45"/>
        <v>1019609290</v>
      </c>
      <c r="P41" s="30">
        <f t="shared" si="46"/>
        <v>2017534464</v>
      </c>
      <c r="Q41" s="30">
        <f t="shared" si="47"/>
        <v>943718400</v>
      </c>
      <c r="R41" s="30">
        <f t="shared" si="48"/>
        <v>2094478027</v>
      </c>
      <c r="S41" s="30">
        <f t="shared" si="49"/>
        <v>504678727</v>
      </c>
      <c r="T41" s="30">
        <f t="shared" si="50"/>
        <v>955295306</v>
      </c>
      <c r="U41" s="30">
        <f t="shared" si="51"/>
        <v>2569593794</v>
      </c>
      <c r="V41" s="30">
        <f t="shared" si="52"/>
        <v>403734594</v>
      </c>
      <c r="W41" s="30">
        <f t="shared" si="53"/>
        <v>652504845</v>
      </c>
      <c r="X41" s="30">
        <f t="shared" si="54"/>
        <v>2122496</v>
      </c>
      <c r="Y41" s="30">
        <f t="shared" si="55"/>
        <v>3217853647</v>
      </c>
      <c r="Z41" s="30">
        <f t="shared" si="56"/>
        <v>3476390962</v>
      </c>
      <c r="AA41" s="30">
        <f t="shared" si="57"/>
        <v>2254038704</v>
      </c>
      <c r="AB41" s="30">
        <f t="shared" si="58"/>
        <v>1480797427</v>
      </c>
      <c r="AC41" s="30">
        <f t="shared" si="59"/>
        <v>2249294896</v>
      </c>
      <c r="AD41" s="30">
        <f t="shared" si="60"/>
        <v>1231839874</v>
      </c>
      <c r="AE41" s="30">
        <f t="shared" si="61"/>
        <v>1212162178</v>
      </c>
      <c r="AF41" s="30">
        <f t="shared" si="62"/>
        <v>288312945</v>
      </c>
      <c r="AG41" s="31">
        <f>MOD(J40+Y41+M41+'📦 SHA-256 Constants'!C39+AN40,4294967296)</f>
        <v>1850757500</v>
      </c>
      <c r="AH41" s="31">
        <f t="shared" si="63"/>
        <v>2382790972</v>
      </c>
      <c r="AI41" s="30">
        <f t="shared" si="64"/>
        <v>3994735195</v>
      </c>
      <c r="AJ41" s="30">
        <f>'📦 SHA-256 Constants'!C39</f>
        <v>1396182291</v>
      </c>
      <c r="AK41" s="25" t="s">
        <v>199</v>
      </c>
      <c r="AM41" s="26">
        <v>36</v>
      </c>
      <c r="AN41" s="31">
        <f t="shared" si="29"/>
        <v>3318782032</v>
      </c>
      <c r="AO41" s="32">
        <f t="shared" si="30"/>
        <v>4079596549</v>
      </c>
      <c r="AP41" s="32">
        <f t="shared" si="31"/>
        <v>2150114308</v>
      </c>
      <c r="AQ41" s="32">
        <f t="shared" si="32"/>
        <v>1628213612</v>
      </c>
      <c r="AR41" s="32">
        <f t="shared" si="33"/>
        <v>288231700</v>
      </c>
      <c r="AS41" s="32">
        <f t="shared" si="34"/>
        <v>72057925</v>
      </c>
      <c r="AT41" s="32">
        <f t="shared" si="35"/>
        <v>655364</v>
      </c>
      <c r="AU41" s="32">
        <f t="shared" si="36"/>
        <v>359472985</v>
      </c>
    </row>
    <row r="42" spans="2:47" ht="13.5" customHeight="1" x14ac:dyDescent="0.25">
      <c r="B42" s="35">
        <v>37</v>
      </c>
      <c r="C42" s="31">
        <f t="shared" si="39"/>
        <v>2606004361</v>
      </c>
      <c r="D42" s="31">
        <f t="shared" si="37"/>
        <v>4233548472</v>
      </c>
      <c r="E42" s="31">
        <f t="shared" si="37"/>
        <v>1020661963</v>
      </c>
      <c r="F42" s="31">
        <f t="shared" si="37"/>
        <v>2054271781</v>
      </c>
      <c r="G42" s="31">
        <f t="shared" si="40"/>
        <v>2855049937</v>
      </c>
      <c r="H42" s="31">
        <f t="shared" si="38"/>
        <v>1905027435</v>
      </c>
      <c r="I42" s="31">
        <f t="shared" si="38"/>
        <v>2234667463</v>
      </c>
      <c r="J42" s="31">
        <f t="shared" si="38"/>
        <v>1869688281</v>
      </c>
      <c r="K42" s="30">
        <f t="shared" si="41"/>
        <v>16793923</v>
      </c>
      <c r="L42" s="30">
        <f t="shared" si="42"/>
        <v>242287760</v>
      </c>
      <c r="M42" s="30">
        <f t="shared" si="43"/>
        <v>259081683</v>
      </c>
      <c r="N42" s="30">
        <f t="shared" si="44"/>
        <v>1012273288</v>
      </c>
      <c r="O42" s="30">
        <f t="shared" si="45"/>
        <v>2018546208</v>
      </c>
      <c r="P42" s="30">
        <f t="shared" si="46"/>
        <v>944771073</v>
      </c>
      <c r="Q42" s="30">
        <f t="shared" si="47"/>
        <v>944771072</v>
      </c>
      <c r="R42" s="30">
        <f t="shared" si="48"/>
        <v>2086048425</v>
      </c>
      <c r="S42" s="30">
        <f t="shared" si="49"/>
        <v>2915447205</v>
      </c>
      <c r="T42" s="30">
        <f t="shared" si="50"/>
        <v>762196365</v>
      </c>
      <c r="U42" s="30">
        <f t="shared" si="51"/>
        <v>3325343160</v>
      </c>
      <c r="V42" s="30">
        <f t="shared" si="52"/>
        <v>759574917</v>
      </c>
      <c r="W42" s="30">
        <f t="shared" si="53"/>
        <v>2158493736</v>
      </c>
      <c r="X42" s="30">
        <f t="shared" si="54"/>
        <v>2149580840</v>
      </c>
      <c r="Y42" s="30">
        <f t="shared" si="55"/>
        <v>1184675216</v>
      </c>
      <c r="Z42" s="30">
        <f t="shared" si="56"/>
        <v>1058387118</v>
      </c>
      <c r="AA42" s="30">
        <f t="shared" si="57"/>
        <v>2512904886</v>
      </c>
      <c r="AB42" s="30">
        <f t="shared" si="58"/>
        <v>1531634673</v>
      </c>
      <c r="AC42" s="30">
        <f t="shared" si="59"/>
        <v>352690342</v>
      </c>
      <c r="AD42" s="30">
        <f t="shared" si="60"/>
        <v>2865911320</v>
      </c>
      <c r="AE42" s="30">
        <f t="shared" si="61"/>
        <v>172114448</v>
      </c>
      <c r="AF42" s="30">
        <f t="shared" si="62"/>
        <v>4053317097</v>
      </c>
      <c r="AG42" s="31">
        <f>MOD(J41+Y42+M42+'📦 SHA-256 Constants'!C40+AN41,4294967296)</f>
        <v>761606135</v>
      </c>
      <c r="AH42" s="31">
        <f t="shared" si="63"/>
        <v>1844398226</v>
      </c>
      <c r="AI42" s="30">
        <f t="shared" si="64"/>
        <v>3318782032</v>
      </c>
      <c r="AJ42" s="30">
        <f>'📦 SHA-256 Constants'!C40</f>
        <v>1695183700</v>
      </c>
      <c r="AK42" s="25" t="s">
        <v>200</v>
      </c>
      <c r="AM42" s="26">
        <v>37</v>
      </c>
      <c r="AN42" s="31">
        <f t="shared" si="29"/>
        <v>120789122</v>
      </c>
      <c r="AO42" s="32">
        <f t="shared" si="30"/>
        <v>4054036647</v>
      </c>
      <c r="AP42" s="32">
        <f t="shared" si="31"/>
        <v>279064614</v>
      </c>
      <c r="AQ42" s="32">
        <f t="shared" si="32"/>
        <v>4284911278</v>
      </c>
      <c r="AR42" s="32">
        <f t="shared" si="33"/>
        <v>1764620045</v>
      </c>
      <c r="AS42" s="32">
        <f t="shared" si="34"/>
        <v>1514896835</v>
      </c>
      <c r="AT42" s="32">
        <f t="shared" si="35"/>
        <v>1208579329</v>
      </c>
      <c r="AU42" s="32">
        <f t="shared" si="36"/>
        <v>861736058</v>
      </c>
    </row>
    <row r="43" spans="2:47" ht="13.5" customHeight="1" x14ac:dyDescent="0.25">
      <c r="B43" s="35">
        <v>38</v>
      </c>
      <c r="C43" s="31">
        <f t="shared" si="39"/>
        <v>3436145919</v>
      </c>
      <c r="D43" s="31">
        <f t="shared" si="37"/>
        <v>2606004361</v>
      </c>
      <c r="E43" s="31">
        <f t="shared" si="37"/>
        <v>4233548472</v>
      </c>
      <c r="F43" s="31">
        <f t="shared" si="37"/>
        <v>1020661963</v>
      </c>
      <c r="G43" s="31">
        <f t="shared" si="40"/>
        <v>2540629167</v>
      </c>
      <c r="H43" s="31">
        <f t="shared" si="38"/>
        <v>2855049937</v>
      </c>
      <c r="I43" s="31">
        <f t="shared" si="38"/>
        <v>1905027435</v>
      </c>
      <c r="J43" s="31">
        <f t="shared" si="38"/>
        <v>2234667463</v>
      </c>
      <c r="K43" s="30">
        <f t="shared" si="41"/>
        <v>537659457</v>
      </c>
      <c r="L43" s="30">
        <f t="shared" si="42"/>
        <v>85082374</v>
      </c>
      <c r="M43" s="30">
        <f t="shared" si="43"/>
        <v>622741831</v>
      </c>
      <c r="N43" s="30">
        <f t="shared" si="44"/>
        <v>2555662472</v>
      </c>
      <c r="O43" s="30">
        <f t="shared" si="45"/>
        <v>408162441</v>
      </c>
      <c r="P43" s="30">
        <f t="shared" si="46"/>
        <v>1012273288</v>
      </c>
      <c r="Q43" s="30">
        <f t="shared" si="47"/>
        <v>408162440</v>
      </c>
      <c r="R43" s="30">
        <f t="shared" si="48"/>
        <v>3159773321</v>
      </c>
      <c r="S43" s="30">
        <f t="shared" si="49"/>
        <v>1185460843</v>
      </c>
      <c r="T43" s="30">
        <f t="shared" si="50"/>
        <v>1513440659</v>
      </c>
      <c r="U43" s="30">
        <f t="shared" si="51"/>
        <v>374171861</v>
      </c>
      <c r="V43" s="30">
        <f t="shared" si="52"/>
        <v>1109393411</v>
      </c>
      <c r="W43" s="30">
        <f t="shared" si="53"/>
        <v>480114680</v>
      </c>
      <c r="X43" s="30">
        <f t="shared" si="54"/>
        <v>336421072</v>
      </c>
      <c r="Y43" s="30">
        <f t="shared" si="55"/>
        <v>181444397</v>
      </c>
      <c r="Z43" s="30">
        <f t="shared" si="56"/>
        <v>1725242914</v>
      </c>
      <c r="AA43" s="30">
        <f t="shared" si="57"/>
        <v>3293371043</v>
      </c>
      <c r="AB43" s="30">
        <f t="shared" si="58"/>
        <v>1373775469</v>
      </c>
      <c r="AC43" s="30">
        <f t="shared" si="59"/>
        <v>1145313826</v>
      </c>
      <c r="AD43" s="30">
        <f t="shared" si="60"/>
        <v>2727986305</v>
      </c>
      <c r="AE43" s="30">
        <f t="shared" si="61"/>
        <v>8389633</v>
      </c>
      <c r="AF43" s="30">
        <f t="shared" si="62"/>
        <v>4084982508</v>
      </c>
      <c r="AG43" s="31">
        <f>MOD(J42+Y43+M43+'📦 SHA-256 Constants'!C41+AN42,4294967296)</f>
        <v>486357386</v>
      </c>
      <c r="AH43" s="31">
        <f t="shared" si="63"/>
        <v>2949788533</v>
      </c>
      <c r="AI43" s="30">
        <f t="shared" si="64"/>
        <v>120789122</v>
      </c>
      <c r="AJ43" s="30">
        <f>'📦 SHA-256 Constants'!C41</f>
        <v>1986661051</v>
      </c>
      <c r="AK43" s="25" t="s">
        <v>201</v>
      </c>
      <c r="AM43" s="26">
        <v>38</v>
      </c>
      <c r="AN43" s="31">
        <f t="shared" si="29"/>
        <v>2540970949</v>
      </c>
      <c r="AO43" s="32">
        <f t="shared" si="30"/>
        <v>2238527149</v>
      </c>
      <c r="AP43" s="32">
        <f t="shared" si="31"/>
        <v>2233476260</v>
      </c>
      <c r="AQ43" s="32">
        <f t="shared" si="32"/>
        <v>1175384531</v>
      </c>
      <c r="AR43" s="32">
        <f t="shared" si="33"/>
        <v>1277715176</v>
      </c>
      <c r="AS43" s="32">
        <f t="shared" si="34"/>
        <v>319428794</v>
      </c>
      <c r="AT43" s="32">
        <f t="shared" si="35"/>
        <v>524456</v>
      </c>
      <c r="AU43" s="32">
        <f t="shared" si="36"/>
        <v>1595084404</v>
      </c>
    </row>
    <row r="44" spans="2:47" ht="13.5" customHeight="1" x14ac:dyDescent="0.25">
      <c r="B44" s="35">
        <v>39</v>
      </c>
      <c r="C44" s="31">
        <f t="shared" si="39"/>
        <v>2747499855</v>
      </c>
      <c r="D44" s="31">
        <f t="shared" si="37"/>
        <v>3436145919</v>
      </c>
      <c r="E44" s="31">
        <f t="shared" si="37"/>
        <v>2606004361</v>
      </c>
      <c r="F44" s="31">
        <f t="shared" si="37"/>
        <v>4233548472</v>
      </c>
      <c r="G44" s="31">
        <f t="shared" si="40"/>
        <v>1522850538</v>
      </c>
      <c r="H44" s="31">
        <f t="shared" si="38"/>
        <v>2540629167</v>
      </c>
      <c r="I44" s="31">
        <f t="shared" si="38"/>
        <v>2855049937</v>
      </c>
      <c r="J44" s="31">
        <f t="shared" si="38"/>
        <v>1905027435</v>
      </c>
      <c r="K44" s="30">
        <f t="shared" si="41"/>
        <v>2183956609</v>
      </c>
      <c r="L44" s="30">
        <f t="shared" si="42"/>
        <v>1619001664</v>
      </c>
      <c r="M44" s="30">
        <f t="shared" si="43"/>
        <v>3802958273</v>
      </c>
      <c r="N44" s="30">
        <f t="shared" si="44"/>
        <v>2286184585</v>
      </c>
      <c r="O44" s="30">
        <f t="shared" si="45"/>
        <v>3427156152</v>
      </c>
      <c r="P44" s="30">
        <f t="shared" si="46"/>
        <v>2555662472</v>
      </c>
      <c r="Q44" s="30">
        <f t="shared" si="47"/>
        <v>2286174344</v>
      </c>
      <c r="R44" s="30">
        <f t="shared" si="48"/>
        <v>3696654521</v>
      </c>
      <c r="S44" s="30">
        <f t="shared" si="49"/>
        <v>3193813938</v>
      </c>
      <c r="T44" s="30">
        <f t="shared" si="50"/>
        <v>2515725789</v>
      </c>
      <c r="U44" s="30">
        <f t="shared" si="51"/>
        <v>3077986251</v>
      </c>
      <c r="V44" s="30">
        <f t="shared" si="52"/>
        <v>2488314256</v>
      </c>
      <c r="W44" s="30">
        <f t="shared" si="53"/>
        <v>732911215</v>
      </c>
      <c r="X44" s="30">
        <f t="shared" si="54"/>
        <v>589715019</v>
      </c>
      <c r="Y44" s="30">
        <f t="shared" si="55"/>
        <v>2631467428</v>
      </c>
      <c r="Z44" s="30">
        <f t="shared" si="56"/>
        <v>4080261951</v>
      </c>
      <c r="AA44" s="30">
        <f t="shared" si="57"/>
        <v>1744725627</v>
      </c>
      <c r="AB44" s="30">
        <f t="shared" si="58"/>
        <v>1035206451</v>
      </c>
      <c r="AC44" s="30">
        <f t="shared" si="59"/>
        <v>1664238139</v>
      </c>
      <c r="AD44" s="30">
        <f t="shared" si="60"/>
        <v>2496511300</v>
      </c>
      <c r="AE44" s="30">
        <f t="shared" si="61"/>
        <v>344046848</v>
      </c>
      <c r="AF44" s="30">
        <f t="shared" si="62"/>
        <v>2843624055</v>
      </c>
      <c r="AG44" s="31">
        <f>MOD(J43+Y44+M44+'📦 SHA-256 Constants'!C42+AN43,4294967296)</f>
        <v>502188575</v>
      </c>
      <c r="AH44" s="31">
        <f t="shared" si="63"/>
        <v>2245311280</v>
      </c>
      <c r="AI44" s="30">
        <f t="shared" si="64"/>
        <v>2540970949</v>
      </c>
      <c r="AJ44" s="30">
        <f>'📦 SHA-256 Constants'!C42</f>
        <v>2177026350</v>
      </c>
      <c r="AK44" s="25" t="s">
        <v>202</v>
      </c>
      <c r="AM44" s="26">
        <v>39</v>
      </c>
      <c r="AN44" s="31">
        <f t="shared" si="29"/>
        <v>2791823097</v>
      </c>
      <c r="AO44" s="32">
        <f t="shared" si="30"/>
        <v>2267451401</v>
      </c>
      <c r="AP44" s="32">
        <f t="shared" si="31"/>
        <v>18907136</v>
      </c>
      <c r="AQ44" s="32">
        <f t="shared" si="32"/>
        <v>2491380803</v>
      </c>
      <c r="AR44" s="32">
        <f t="shared" si="33"/>
        <v>2353071001</v>
      </c>
      <c r="AS44" s="32">
        <f t="shared" si="34"/>
        <v>1662009574</v>
      </c>
      <c r="AT44" s="32">
        <f t="shared" si="35"/>
        <v>128</v>
      </c>
      <c r="AU44" s="32">
        <f t="shared" si="36"/>
        <v>4015034297</v>
      </c>
    </row>
    <row r="45" spans="2:47" ht="13.5" customHeight="1" x14ac:dyDescent="0.25">
      <c r="B45" s="35">
        <v>40</v>
      </c>
      <c r="C45" s="31">
        <f t="shared" si="39"/>
        <v>1266721552</v>
      </c>
      <c r="D45" s="31">
        <f t="shared" si="37"/>
        <v>2747499855</v>
      </c>
      <c r="E45" s="31">
        <f t="shared" si="37"/>
        <v>3436145919</v>
      </c>
      <c r="F45" s="31">
        <f t="shared" si="37"/>
        <v>2606004361</v>
      </c>
      <c r="G45" s="31">
        <f t="shared" si="40"/>
        <v>4017571641</v>
      </c>
      <c r="H45" s="31">
        <f t="shared" si="38"/>
        <v>1522850538</v>
      </c>
      <c r="I45" s="31">
        <f t="shared" si="38"/>
        <v>2540629167</v>
      </c>
      <c r="J45" s="31">
        <f t="shared" si="38"/>
        <v>2855049937</v>
      </c>
      <c r="K45" s="30">
        <f t="shared" si="41"/>
        <v>306497706</v>
      </c>
      <c r="L45" s="30">
        <f t="shared" si="42"/>
        <v>2686976017</v>
      </c>
      <c r="M45" s="30">
        <f t="shared" si="43"/>
        <v>2993473723</v>
      </c>
      <c r="N45" s="30">
        <f t="shared" si="44"/>
        <v>2160264271</v>
      </c>
      <c r="O45" s="30">
        <f t="shared" si="45"/>
        <v>2202009609</v>
      </c>
      <c r="P45" s="30">
        <f t="shared" si="46"/>
        <v>2286184585</v>
      </c>
      <c r="Q45" s="30">
        <f t="shared" si="47"/>
        <v>2151677961</v>
      </c>
      <c r="R45" s="30">
        <f t="shared" si="48"/>
        <v>2345102543</v>
      </c>
      <c r="S45" s="30">
        <f t="shared" si="49"/>
        <v>2842366827</v>
      </c>
      <c r="T45" s="30">
        <f t="shared" si="50"/>
        <v>1565218971</v>
      </c>
      <c r="U45" s="30">
        <f t="shared" si="51"/>
        <v>1651340589</v>
      </c>
      <c r="V45" s="30">
        <f t="shared" si="52"/>
        <v>155914251</v>
      </c>
      <c r="W45" s="30">
        <f t="shared" si="53"/>
        <v>4095757296</v>
      </c>
      <c r="X45" s="30">
        <f t="shared" si="54"/>
        <v>1612726560</v>
      </c>
      <c r="Y45" s="30">
        <f t="shared" si="55"/>
        <v>2521644765</v>
      </c>
      <c r="Z45" s="30">
        <f t="shared" si="56"/>
        <v>3908100435</v>
      </c>
      <c r="AA45" s="30">
        <f t="shared" si="57"/>
        <v>712842780</v>
      </c>
      <c r="AB45" s="30">
        <f t="shared" si="58"/>
        <v>236273295</v>
      </c>
      <c r="AC45" s="30">
        <f t="shared" si="59"/>
        <v>678428688</v>
      </c>
      <c r="AD45" s="30">
        <f t="shared" si="60"/>
        <v>3264085839</v>
      </c>
      <c r="AE45" s="30">
        <f t="shared" si="61"/>
        <v>33897999</v>
      </c>
      <c r="AF45" s="30">
        <f t="shared" si="62"/>
        <v>3432563136</v>
      </c>
      <c r="AG45" s="31">
        <f>MOD(J44+Y45+M45+'📦 SHA-256 Constants'!C43+AN44,4294967296)</f>
        <v>4078990465</v>
      </c>
      <c r="AH45" s="31">
        <f t="shared" si="63"/>
        <v>1482698383</v>
      </c>
      <c r="AI45" s="30">
        <f t="shared" si="64"/>
        <v>2791823097</v>
      </c>
      <c r="AJ45" s="30">
        <f>'📦 SHA-256 Constants'!C43</f>
        <v>2456956037</v>
      </c>
      <c r="AK45" s="25" t="s">
        <v>203</v>
      </c>
      <c r="AM45" s="26">
        <v>40</v>
      </c>
      <c r="AN45" s="31">
        <f t="shared" si="29"/>
        <v>3154398022</v>
      </c>
      <c r="AO45" s="32">
        <f t="shared" si="30"/>
        <v>1261276921</v>
      </c>
      <c r="AP45" s="32">
        <f t="shared" si="31"/>
        <v>1260979377</v>
      </c>
      <c r="AQ45" s="32">
        <f t="shared" si="32"/>
        <v>2262566108</v>
      </c>
      <c r="AR45" s="32">
        <f t="shared" si="33"/>
        <v>300075962</v>
      </c>
      <c r="AS45" s="32">
        <f t="shared" si="34"/>
        <v>2222502638</v>
      </c>
      <c r="AT45" s="32">
        <f t="shared" si="35"/>
        <v>6324906</v>
      </c>
      <c r="AU45" s="32">
        <f t="shared" si="36"/>
        <v>2512364636</v>
      </c>
    </row>
    <row r="46" spans="2:47" ht="13.5" customHeight="1" x14ac:dyDescent="0.25">
      <c r="B46" s="35">
        <v>41</v>
      </c>
      <c r="C46" s="31">
        <f t="shared" si="39"/>
        <v>4078126007</v>
      </c>
      <c r="D46" s="31">
        <f t="shared" ref="D46:F69" si="65">C45</f>
        <v>1266721552</v>
      </c>
      <c r="E46" s="31">
        <f t="shared" si="65"/>
        <v>2747499855</v>
      </c>
      <c r="F46" s="31">
        <f t="shared" si="65"/>
        <v>3436145919</v>
      </c>
      <c r="G46" s="31">
        <f t="shared" si="40"/>
        <v>3115704562</v>
      </c>
      <c r="H46" s="31">
        <f t="shared" ref="H46:J69" si="66">G45</f>
        <v>4017571641</v>
      </c>
      <c r="I46" s="31">
        <f t="shared" si="66"/>
        <v>1522850538</v>
      </c>
      <c r="J46" s="31">
        <f t="shared" si="66"/>
        <v>2540629167</v>
      </c>
      <c r="K46" s="30">
        <f t="shared" si="41"/>
        <v>1245987368</v>
      </c>
      <c r="L46" s="30">
        <f t="shared" si="42"/>
        <v>269002886</v>
      </c>
      <c r="M46" s="30">
        <f t="shared" si="43"/>
        <v>1514990254</v>
      </c>
      <c r="N46" s="30">
        <f t="shared" si="44"/>
        <v>58753280</v>
      </c>
      <c r="O46" s="30">
        <f t="shared" si="45"/>
        <v>1216356368</v>
      </c>
      <c r="P46" s="30">
        <f t="shared" si="46"/>
        <v>2160264271</v>
      </c>
      <c r="Q46" s="30">
        <f t="shared" si="47"/>
        <v>8388608</v>
      </c>
      <c r="R46" s="30">
        <f t="shared" si="48"/>
        <v>3418596703</v>
      </c>
      <c r="S46" s="30">
        <f t="shared" si="49"/>
        <v>3887979804</v>
      </c>
      <c r="T46" s="30">
        <f t="shared" si="50"/>
        <v>3879595752</v>
      </c>
      <c r="U46" s="30">
        <f t="shared" si="51"/>
        <v>3148061943</v>
      </c>
      <c r="V46" s="30">
        <f t="shared" si="52"/>
        <v>3879586824</v>
      </c>
      <c r="W46" s="30">
        <f t="shared" si="53"/>
        <v>8401908</v>
      </c>
      <c r="X46" s="30">
        <f t="shared" si="54"/>
        <v>8392948</v>
      </c>
      <c r="Y46" s="30">
        <f t="shared" si="55"/>
        <v>3139677955</v>
      </c>
      <c r="Z46" s="30">
        <f t="shared" si="56"/>
        <v>316680388</v>
      </c>
      <c r="AA46" s="30">
        <f t="shared" si="57"/>
        <v>411196421</v>
      </c>
      <c r="AB46" s="30">
        <f t="shared" si="58"/>
        <v>42746158</v>
      </c>
      <c r="AC46" s="30">
        <f t="shared" si="59"/>
        <v>276826116</v>
      </c>
      <c r="AD46" s="30">
        <f t="shared" si="60"/>
        <v>174224577</v>
      </c>
      <c r="AE46" s="30">
        <f t="shared" si="61"/>
        <v>33570816</v>
      </c>
      <c r="AF46" s="30">
        <f t="shared" si="62"/>
        <v>149829103</v>
      </c>
      <c r="AG46" s="31">
        <f>MOD(J45+Y46+M46+'📦 SHA-256 Constants'!C44+AN45,4294967296)</f>
        <v>509700201</v>
      </c>
      <c r="AH46" s="31">
        <f t="shared" si="63"/>
        <v>3568425806</v>
      </c>
      <c r="AI46" s="30">
        <f t="shared" si="64"/>
        <v>3154398022</v>
      </c>
      <c r="AJ46" s="30">
        <f>'📦 SHA-256 Constants'!C44</f>
        <v>2730485921</v>
      </c>
      <c r="AK46" s="25" t="s">
        <v>204</v>
      </c>
      <c r="AM46" s="26">
        <v>41</v>
      </c>
      <c r="AN46" s="31">
        <f t="shared" si="29"/>
        <v>2508558385</v>
      </c>
      <c r="AO46" s="32">
        <f t="shared" si="30"/>
        <v>2370171536</v>
      </c>
      <c r="AP46" s="32">
        <f t="shared" si="31"/>
        <v>106640</v>
      </c>
      <c r="AQ46" s="32">
        <f t="shared" si="32"/>
        <v>3406525222</v>
      </c>
      <c r="AR46" s="32">
        <f t="shared" si="33"/>
        <v>3950826291</v>
      </c>
      <c r="AS46" s="32">
        <f t="shared" si="34"/>
        <v>4208932044</v>
      </c>
      <c r="AT46" s="32">
        <f t="shared" si="35"/>
        <v>3931901952</v>
      </c>
      <c r="AU46" s="32">
        <f t="shared" si="36"/>
        <v>294288906</v>
      </c>
    </row>
    <row r="47" spans="2:47" ht="13.5" customHeight="1" x14ac:dyDescent="0.25">
      <c r="B47" s="35">
        <v>42</v>
      </c>
      <c r="C47" s="31">
        <f t="shared" si="39"/>
        <v>1589571736</v>
      </c>
      <c r="D47" s="31">
        <f t="shared" si="65"/>
        <v>4078126007</v>
      </c>
      <c r="E47" s="31">
        <f t="shared" si="65"/>
        <v>1266721552</v>
      </c>
      <c r="F47" s="31">
        <f t="shared" si="65"/>
        <v>2747499855</v>
      </c>
      <c r="G47" s="31">
        <f t="shared" si="40"/>
        <v>2610250437</v>
      </c>
      <c r="H47" s="31">
        <f t="shared" si="66"/>
        <v>3115704562</v>
      </c>
      <c r="I47" s="31">
        <f t="shared" si="66"/>
        <v>4017571641</v>
      </c>
      <c r="J47" s="31">
        <f t="shared" si="66"/>
        <v>1522850538</v>
      </c>
      <c r="K47" s="30">
        <f t="shared" si="41"/>
        <v>2838839344</v>
      </c>
      <c r="L47" s="30">
        <f t="shared" si="42"/>
        <v>1111497224</v>
      </c>
      <c r="M47" s="30">
        <f t="shared" si="43"/>
        <v>3950336568</v>
      </c>
      <c r="N47" s="30">
        <f t="shared" si="44"/>
        <v>1124074256</v>
      </c>
      <c r="O47" s="30">
        <f t="shared" si="45"/>
        <v>2734883079</v>
      </c>
      <c r="P47" s="30">
        <f t="shared" si="46"/>
        <v>58753280</v>
      </c>
      <c r="Q47" s="30">
        <f t="shared" si="47"/>
        <v>50331904</v>
      </c>
      <c r="R47" s="30">
        <f t="shared" si="48"/>
        <v>3817046807</v>
      </c>
      <c r="S47" s="30">
        <f t="shared" si="49"/>
        <v>3404126083</v>
      </c>
      <c r="T47" s="30">
        <f t="shared" si="50"/>
        <v>509032124</v>
      </c>
      <c r="U47" s="30">
        <f t="shared" si="51"/>
        <v>3673192796</v>
      </c>
      <c r="V47" s="30">
        <f t="shared" si="52"/>
        <v>172365440</v>
      </c>
      <c r="W47" s="30">
        <f t="shared" si="53"/>
        <v>3568427327</v>
      </c>
      <c r="X47" s="30">
        <f t="shared" si="54"/>
        <v>3501220124</v>
      </c>
      <c r="Y47" s="30">
        <f t="shared" si="55"/>
        <v>239179875</v>
      </c>
      <c r="Z47" s="30">
        <f t="shared" si="56"/>
        <v>4240756973</v>
      </c>
      <c r="AA47" s="30">
        <f t="shared" si="57"/>
        <v>499095706</v>
      </c>
      <c r="AB47" s="30">
        <f t="shared" si="58"/>
        <v>1292820428</v>
      </c>
      <c r="AC47" s="30">
        <f t="shared" si="59"/>
        <v>478449800</v>
      </c>
      <c r="AD47" s="30">
        <f t="shared" si="60"/>
        <v>3782953079</v>
      </c>
      <c r="AE47" s="30">
        <f t="shared" si="61"/>
        <v>1091192900</v>
      </c>
      <c r="AF47" s="30">
        <f t="shared" si="62"/>
        <v>2893387707</v>
      </c>
      <c r="AG47" s="31">
        <f>MOD(J46+Y47+M47+'📦 SHA-256 Constants'!C45+AN46,4294967296)</f>
        <v>3469071814</v>
      </c>
      <c r="AH47" s="31">
        <f t="shared" si="63"/>
        <v>2415467218</v>
      </c>
      <c r="AI47" s="30">
        <f t="shared" si="64"/>
        <v>2508558385</v>
      </c>
      <c r="AJ47" s="30">
        <f>'📦 SHA-256 Constants'!C45</f>
        <v>2820302411</v>
      </c>
      <c r="AK47" s="25" t="s">
        <v>205</v>
      </c>
      <c r="AM47" s="26">
        <v>42</v>
      </c>
      <c r="AN47" s="31">
        <f t="shared" si="29"/>
        <v>1553517154</v>
      </c>
      <c r="AO47" s="32">
        <f t="shared" si="30"/>
        <v>3741920905</v>
      </c>
      <c r="AP47" s="32">
        <f t="shared" si="31"/>
        <v>3507036161</v>
      </c>
      <c r="AQ47" s="32">
        <f t="shared" si="32"/>
        <v>513812273</v>
      </c>
      <c r="AR47" s="32">
        <f t="shared" si="33"/>
        <v>631463426</v>
      </c>
      <c r="AS47" s="32">
        <f t="shared" si="34"/>
        <v>2305349504</v>
      </c>
      <c r="AT47" s="32">
        <f t="shared" si="35"/>
        <v>18896384</v>
      </c>
      <c r="AU47" s="32">
        <f t="shared" si="36"/>
        <v>2900658320</v>
      </c>
    </row>
    <row r="48" spans="2:47" ht="13.5" customHeight="1" x14ac:dyDescent="0.25">
      <c r="B48" s="35">
        <v>43</v>
      </c>
      <c r="C48" s="31">
        <f t="shared" si="39"/>
        <v>3227437149</v>
      </c>
      <c r="D48" s="31">
        <f t="shared" si="65"/>
        <v>1589571736</v>
      </c>
      <c r="E48" s="31">
        <f t="shared" si="65"/>
        <v>4078126007</v>
      </c>
      <c r="F48" s="31">
        <f t="shared" si="65"/>
        <v>1266721552</v>
      </c>
      <c r="G48" s="31">
        <f t="shared" si="40"/>
        <v>2682274161</v>
      </c>
      <c r="H48" s="31">
        <f t="shared" si="66"/>
        <v>2610250437</v>
      </c>
      <c r="I48" s="31">
        <f t="shared" si="66"/>
        <v>3115704562</v>
      </c>
      <c r="J48" s="31">
        <f t="shared" si="66"/>
        <v>4017571641</v>
      </c>
      <c r="K48" s="30">
        <f t="shared" si="41"/>
        <v>2576695488</v>
      </c>
      <c r="L48" s="30">
        <f t="shared" si="42"/>
        <v>1684145464</v>
      </c>
      <c r="M48" s="30">
        <f t="shared" si="43"/>
        <v>4260840952</v>
      </c>
      <c r="N48" s="30">
        <f t="shared" si="44"/>
        <v>1376927888</v>
      </c>
      <c r="O48" s="30">
        <f t="shared" si="45"/>
        <v>1249943568</v>
      </c>
      <c r="P48" s="30">
        <f t="shared" si="46"/>
        <v>1124074256</v>
      </c>
      <c r="Q48" s="30">
        <f t="shared" si="47"/>
        <v>1107296272</v>
      </c>
      <c r="R48" s="30">
        <f t="shared" si="48"/>
        <v>1536353168</v>
      </c>
      <c r="S48" s="30">
        <f t="shared" si="49"/>
        <v>376329483</v>
      </c>
      <c r="T48" s="30">
        <f t="shared" si="50"/>
        <v>1488155304</v>
      </c>
      <c r="U48" s="30">
        <f t="shared" si="51"/>
        <v>3399574221</v>
      </c>
      <c r="V48" s="30">
        <f t="shared" si="52"/>
        <v>270684168</v>
      </c>
      <c r="W48" s="30">
        <f t="shared" si="53"/>
        <v>1323116451</v>
      </c>
      <c r="X48" s="30">
        <f t="shared" si="54"/>
        <v>1249976961</v>
      </c>
      <c r="Y48" s="30">
        <f t="shared" si="55"/>
        <v>2222736750</v>
      </c>
      <c r="Z48" s="30">
        <f t="shared" si="56"/>
        <v>397392934</v>
      </c>
      <c r="AA48" s="30">
        <f t="shared" si="57"/>
        <v>2227369463</v>
      </c>
      <c r="AB48" s="30">
        <f t="shared" si="58"/>
        <v>4223820154</v>
      </c>
      <c r="AC48" s="30">
        <f t="shared" si="59"/>
        <v>75674662</v>
      </c>
      <c r="AD48" s="30">
        <f t="shared" si="60"/>
        <v>2473413073</v>
      </c>
      <c r="AE48" s="30">
        <f t="shared" si="61"/>
        <v>2470461776</v>
      </c>
      <c r="AF48" s="30">
        <f t="shared" si="62"/>
        <v>1756309675</v>
      </c>
      <c r="AG48" s="31">
        <f>MOD(J47+Y48+M48+'📦 SHA-256 Constants'!C46+AN47,4294967296)</f>
        <v>4229741602</v>
      </c>
      <c r="AH48" s="31">
        <f t="shared" si="63"/>
        <v>3292662843</v>
      </c>
      <c r="AI48" s="30">
        <f t="shared" si="64"/>
        <v>1553517154</v>
      </c>
      <c r="AJ48" s="30">
        <f>'📦 SHA-256 Constants'!C46</f>
        <v>3259730800</v>
      </c>
      <c r="AK48" s="25" t="s">
        <v>206</v>
      </c>
      <c r="AM48" s="26">
        <v>43</v>
      </c>
      <c r="AN48" s="31">
        <f t="shared" si="29"/>
        <v>1686506523</v>
      </c>
      <c r="AO48" s="32">
        <f t="shared" si="30"/>
        <v>3561208444</v>
      </c>
      <c r="AP48" s="32">
        <f t="shared" si="31"/>
        <v>1141016692</v>
      </c>
      <c r="AQ48" s="32">
        <f t="shared" si="32"/>
        <v>2682426822</v>
      </c>
      <c r="AR48" s="32">
        <f t="shared" si="33"/>
        <v>3357067970</v>
      </c>
      <c r="AS48" s="32">
        <f t="shared" si="34"/>
        <v>2986750640</v>
      </c>
      <c r="AT48" s="32">
        <f t="shared" si="35"/>
        <v>2147484288</v>
      </c>
      <c r="AU48" s="32">
        <f t="shared" si="36"/>
        <v>2050726166</v>
      </c>
    </row>
    <row r="49" spans="2:47" ht="13.5" customHeight="1" x14ac:dyDescent="0.25">
      <c r="B49" s="35">
        <v>44</v>
      </c>
      <c r="C49" s="31">
        <f t="shared" si="39"/>
        <v>191091705</v>
      </c>
      <c r="D49" s="31">
        <f t="shared" si="65"/>
        <v>3227437149</v>
      </c>
      <c r="E49" s="31">
        <f t="shared" si="65"/>
        <v>1589571736</v>
      </c>
      <c r="F49" s="31">
        <f t="shared" si="65"/>
        <v>4078126007</v>
      </c>
      <c r="G49" s="31">
        <f t="shared" si="40"/>
        <v>988606092</v>
      </c>
      <c r="H49" s="31">
        <f t="shared" si="66"/>
        <v>2682274161</v>
      </c>
      <c r="I49" s="31">
        <f t="shared" si="66"/>
        <v>2610250437</v>
      </c>
      <c r="J49" s="31">
        <f t="shared" si="66"/>
        <v>3115704562</v>
      </c>
      <c r="K49" s="30">
        <f t="shared" si="41"/>
        <v>2608873537</v>
      </c>
      <c r="L49" s="30">
        <f t="shared" si="42"/>
        <v>538288258</v>
      </c>
      <c r="M49" s="30">
        <f t="shared" si="43"/>
        <v>3147161795</v>
      </c>
      <c r="N49" s="30">
        <f t="shared" si="44"/>
        <v>1075757080</v>
      </c>
      <c r="O49" s="30">
        <f t="shared" si="45"/>
        <v>3222421525</v>
      </c>
      <c r="P49" s="30">
        <f t="shared" si="46"/>
        <v>1376927888</v>
      </c>
      <c r="Q49" s="30">
        <f t="shared" si="47"/>
        <v>1074937872</v>
      </c>
      <c r="R49" s="30">
        <f t="shared" si="48"/>
        <v>3525230749</v>
      </c>
      <c r="S49" s="30">
        <f t="shared" si="49"/>
        <v>3330244869</v>
      </c>
      <c r="T49" s="30">
        <f t="shared" si="50"/>
        <v>775158792</v>
      </c>
      <c r="U49" s="30">
        <f t="shared" si="51"/>
        <v>4028676303</v>
      </c>
      <c r="V49" s="30">
        <f t="shared" si="52"/>
        <v>104038400</v>
      </c>
      <c r="W49" s="30">
        <f t="shared" si="53"/>
        <v>3897326861</v>
      </c>
      <c r="X49" s="30">
        <f t="shared" si="54"/>
        <v>3758110733</v>
      </c>
      <c r="Y49" s="30">
        <f t="shared" si="55"/>
        <v>409781698</v>
      </c>
      <c r="Z49" s="30">
        <f t="shared" si="56"/>
        <v>1880601111</v>
      </c>
      <c r="AA49" s="30">
        <f t="shared" si="57"/>
        <v>1122894582</v>
      </c>
      <c r="AB49" s="30">
        <f t="shared" si="58"/>
        <v>2065790721</v>
      </c>
      <c r="AC49" s="30">
        <f t="shared" si="59"/>
        <v>1074135574</v>
      </c>
      <c r="AD49" s="30">
        <f t="shared" si="60"/>
        <v>855224545</v>
      </c>
      <c r="AE49" s="30">
        <f t="shared" si="61"/>
        <v>841035777</v>
      </c>
      <c r="AF49" s="30">
        <f t="shared" si="62"/>
        <v>1238943712</v>
      </c>
      <c r="AG49" s="31">
        <f>MOD(J48+Y49+M49+'📦 SHA-256 Constants'!C47+AN48,4294967296)</f>
        <v>4016851836</v>
      </c>
      <c r="AH49" s="31">
        <f t="shared" si="63"/>
        <v>469207165</v>
      </c>
      <c r="AI49" s="30">
        <f t="shared" si="64"/>
        <v>1686506523</v>
      </c>
      <c r="AJ49" s="30">
        <f>'📦 SHA-256 Constants'!C47</f>
        <v>3345764771</v>
      </c>
      <c r="AK49" s="25" t="s">
        <v>207</v>
      </c>
      <c r="AM49" s="26">
        <v>44</v>
      </c>
      <c r="AN49" s="31">
        <f t="shared" si="29"/>
        <v>2129119095</v>
      </c>
      <c r="AO49" s="32">
        <f t="shared" si="30"/>
        <v>3753686</v>
      </c>
      <c r="AP49" s="32">
        <f t="shared" si="31"/>
        <v>1536</v>
      </c>
      <c r="AQ49" s="32">
        <f t="shared" si="32"/>
        <v>3647810718</v>
      </c>
      <c r="AR49" s="32">
        <f t="shared" si="33"/>
        <v>1697721932</v>
      </c>
      <c r="AS49" s="32">
        <f t="shared" si="34"/>
        <v>424430483</v>
      </c>
      <c r="AT49" s="32">
        <f t="shared" si="35"/>
        <v>16779776</v>
      </c>
      <c r="AU49" s="32">
        <f t="shared" si="36"/>
        <v>2087338989</v>
      </c>
    </row>
    <row r="50" spans="2:47" ht="13.5" customHeight="1" x14ac:dyDescent="0.25">
      <c r="B50" s="35">
        <v>45</v>
      </c>
      <c r="C50" s="31">
        <f t="shared" si="39"/>
        <v>3659240867</v>
      </c>
      <c r="D50" s="31">
        <f t="shared" si="65"/>
        <v>191091705</v>
      </c>
      <c r="E50" s="31">
        <f t="shared" si="65"/>
        <v>3227437149</v>
      </c>
      <c r="F50" s="31">
        <f t="shared" si="65"/>
        <v>1589571736</v>
      </c>
      <c r="G50" s="31">
        <f t="shared" si="40"/>
        <v>810597556</v>
      </c>
      <c r="H50" s="31">
        <f t="shared" si="66"/>
        <v>988606092</v>
      </c>
      <c r="I50" s="31">
        <f t="shared" si="66"/>
        <v>2682274161</v>
      </c>
      <c r="J50" s="31">
        <f t="shared" si="66"/>
        <v>2610250437</v>
      </c>
      <c r="K50" s="30">
        <f t="shared" si="41"/>
        <v>450904064</v>
      </c>
      <c r="L50" s="30">
        <f t="shared" si="42"/>
        <v>2165375041</v>
      </c>
      <c r="M50" s="30">
        <f t="shared" si="43"/>
        <v>2616279105</v>
      </c>
      <c r="N50" s="30">
        <f t="shared" si="44"/>
        <v>4374617</v>
      </c>
      <c r="O50" s="30">
        <f t="shared" si="45"/>
        <v>170053784</v>
      </c>
      <c r="P50" s="30">
        <f t="shared" si="46"/>
        <v>1075757080</v>
      </c>
      <c r="Q50" s="30">
        <f t="shared" si="47"/>
        <v>180248</v>
      </c>
      <c r="R50" s="30">
        <f t="shared" si="48"/>
        <v>1249824985</v>
      </c>
      <c r="S50" s="30">
        <f t="shared" si="49"/>
        <v>820753338</v>
      </c>
      <c r="T50" s="30">
        <f t="shared" si="50"/>
        <v>3515309469</v>
      </c>
      <c r="U50" s="30">
        <f t="shared" si="51"/>
        <v>1987528221</v>
      </c>
      <c r="V50" s="30">
        <f t="shared" si="52"/>
        <v>277025176</v>
      </c>
      <c r="W50" s="30">
        <f t="shared" si="53"/>
        <v>3782012455</v>
      </c>
      <c r="X50" s="30">
        <f t="shared" si="54"/>
        <v>1617184261</v>
      </c>
      <c r="Y50" s="30">
        <f t="shared" si="55"/>
        <v>2535172154</v>
      </c>
      <c r="Z50" s="30">
        <f t="shared" si="56"/>
        <v>1121514750</v>
      </c>
      <c r="AA50" s="30">
        <f t="shared" si="57"/>
        <v>2680707870</v>
      </c>
      <c r="AB50" s="30">
        <f t="shared" si="58"/>
        <v>2404377645</v>
      </c>
      <c r="AC50" s="30">
        <f t="shared" si="59"/>
        <v>46682142</v>
      </c>
      <c r="AD50" s="30">
        <f t="shared" si="60"/>
        <v>3708858336</v>
      </c>
      <c r="AE50" s="30">
        <f t="shared" si="61"/>
        <v>2365629472</v>
      </c>
      <c r="AF50" s="30">
        <f t="shared" si="62"/>
        <v>1381977037</v>
      </c>
      <c r="AG50" s="31">
        <f>MOD(J49+Y50+M50+'📦 SHA-256 Constants'!C48+AN49,4294967296)</f>
        <v>1027438845</v>
      </c>
      <c r="AH50" s="31">
        <f t="shared" si="63"/>
        <v>2631802022</v>
      </c>
      <c r="AI50" s="30">
        <f t="shared" si="64"/>
        <v>2129119095</v>
      </c>
      <c r="AJ50" s="30">
        <f>'📦 SHA-256 Constants'!C48</f>
        <v>3516065817</v>
      </c>
      <c r="AK50" s="25" t="s">
        <v>208</v>
      </c>
      <c r="AM50" s="26">
        <v>45</v>
      </c>
      <c r="AN50" s="31">
        <f t="shared" si="29"/>
        <v>382031986</v>
      </c>
      <c r="AO50" s="32">
        <f t="shared" si="30"/>
        <v>3263113972</v>
      </c>
      <c r="AP50" s="32">
        <f t="shared" si="31"/>
        <v>1108871908</v>
      </c>
      <c r="AQ50" s="32">
        <f t="shared" si="32"/>
        <v>2601896541</v>
      </c>
      <c r="AR50" s="32">
        <f t="shared" si="33"/>
        <v>101560899</v>
      </c>
      <c r="AS50" s="32">
        <f t="shared" si="34"/>
        <v>3246615696</v>
      </c>
      <c r="AT50" s="32">
        <f t="shared" si="35"/>
        <v>73728</v>
      </c>
      <c r="AU50" s="32">
        <f t="shared" si="36"/>
        <v>3348627280</v>
      </c>
    </row>
    <row r="51" spans="2:47" ht="13.5" customHeight="1" x14ac:dyDescent="0.25">
      <c r="B51" s="35">
        <v>46</v>
      </c>
      <c r="C51" s="31">
        <f t="shared" si="39"/>
        <v>3071815410</v>
      </c>
      <c r="D51" s="31">
        <f t="shared" si="65"/>
        <v>3659240867</v>
      </c>
      <c r="E51" s="31">
        <f t="shared" si="65"/>
        <v>191091705</v>
      </c>
      <c r="F51" s="31">
        <f t="shared" si="65"/>
        <v>3227437149</v>
      </c>
      <c r="G51" s="31">
        <f t="shared" si="40"/>
        <v>363631285</v>
      </c>
      <c r="H51" s="31">
        <f t="shared" si="66"/>
        <v>810597556</v>
      </c>
      <c r="I51" s="31">
        <f t="shared" si="66"/>
        <v>988606092</v>
      </c>
      <c r="J51" s="31">
        <f t="shared" si="66"/>
        <v>2682274161</v>
      </c>
      <c r="K51" s="30">
        <f t="shared" si="41"/>
        <v>809544836</v>
      </c>
      <c r="L51" s="30">
        <f t="shared" si="42"/>
        <v>2409644353</v>
      </c>
      <c r="M51" s="30">
        <f t="shared" si="43"/>
        <v>3219189189</v>
      </c>
      <c r="N51" s="30">
        <f t="shared" si="44"/>
        <v>168006049</v>
      </c>
      <c r="O51" s="30">
        <f t="shared" si="45"/>
        <v>3222962177</v>
      </c>
      <c r="P51" s="30">
        <f t="shared" si="46"/>
        <v>4374617</v>
      </c>
      <c r="Q51" s="30">
        <f t="shared" si="47"/>
        <v>163841</v>
      </c>
      <c r="R51" s="30">
        <f t="shared" si="48"/>
        <v>3395015161</v>
      </c>
      <c r="S51" s="30">
        <f t="shared" si="49"/>
        <v>3502326514</v>
      </c>
      <c r="T51" s="30">
        <f t="shared" si="50"/>
        <v>2525366807</v>
      </c>
      <c r="U51" s="30">
        <f t="shared" si="51"/>
        <v>677272088</v>
      </c>
      <c r="V51" s="30">
        <f t="shared" si="52"/>
        <v>2424308242</v>
      </c>
      <c r="W51" s="30">
        <f t="shared" si="53"/>
        <v>1179076837</v>
      </c>
      <c r="X51" s="30">
        <f t="shared" si="54"/>
        <v>4605952</v>
      </c>
      <c r="Y51" s="30">
        <f t="shared" si="55"/>
        <v>1847137021</v>
      </c>
      <c r="Z51" s="30">
        <f t="shared" si="56"/>
        <v>4136035688</v>
      </c>
      <c r="AA51" s="30">
        <f t="shared" si="57"/>
        <v>2904477916</v>
      </c>
      <c r="AB51" s="30">
        <f t="shared" si="58"/>
        <v>1851166568</v>
      </c>
      <c r="AC51" s="30">
        <f t="shared" si="59"/>
        <v>2751905864</v>
      </c>
      <c r="AD51" s="30">
        <f t="shared" si="60"/>
        <v>1536701876</v>
      </c>
      <c r="AE51" s="30">
        <f t="shared" si="61"/>
        <v>1242563872</v>
      </c>
      <c r="AF51" s="30">
        <f t="shared" si="62"/>
        <v>902740700</v>
      </c>
      <c r="AG51" s="31">
        <f>MOD(J50+Y51+M51+'📦 SHA-256 Constants'!C49+AN50,4294967296)</f>
        <v>3069026845</v>
      </c>
      <c r="AH51" s="31">
        <f t="shared" si="63"/>
        <v>2788565</v>
      </c>
      <c r="AI51" s="30">
        <f t="shared" si="64"/>
        <v>382031986</v>
      </c>
      <c r="AJ51" s="30">
        <f>'📦 SHA-256 Constants'!C49</f>
        <v>3600352804</v>
      </c>
      <c r="AK51" s="25" t="s">
        <v>209</v>
      </c>
      <c r="AM51" s="26">
        <v>46</v>
      </c>
      <c r="AN51" s="31">
        <f t="shared" si="29"/>
        <v>2096528681</v>
      </c>
      <c r="AO51" s="32">
        <f t="shared" si="30"/>
        <v>205583263</v>
      </c>
      <c r="AP51" s="32">
        <f t="shared" si="31"/>
        <v>4227102</v>
      </c>
      <c r="AQ51" s="32">
        <f t="shared" si="32"/>
        <v>2075017841</v>
      </c>
      <c r="AR51" s="32">
        <f t="shared" si="33"/>
        <v>3820732275</v>
      </c>
      <c r="AS51" s="32">
        <f t="shared" si="34"/>
        <v>4176408540</v>
      </c>
      <c r="AT51" s="32">
        <f t="shared" si="35"/>
        <v>3769282384</v>
      </c>
      <c r="AU51" s="32">
        <f t="shared" si="36"/>
        <v>457894238</v>
      </c>
    </row>
    <row r="52" spans="2:47" ht="13.5" customHeight="1" x14ac:dyDescent="0.25">
      <c r="B52" s="35">
        <v>47</v>
      </c>
      <c r="C52" s="31">
        <f t="shared" si="39"/>
        <v>4125581249</v>
      </c>
      <c r="D52" s="31">
        <f t="shared" si="65"/>
        <v>3071815410</v>
      </c>
      <c r="E52" s="31">
        <f t="shared" si="65"/>
        <v>3659240867</v>
      </c>
      <c r="F52" s="31">
        <f t="shared" si="65"/>
        <v>191091705</v>
      </c>
      <c r="G52" s="31">
        <f t="shared" si="40"/>
        <v>1614943882</v>
      </c>
      <c r="H52" s="31">
        <f t="shared" si="66"/>
        <v>363631285</v>
      </c>
      <c r="I52" s="31">
        <f t="shared" si="66"/>
        <v>810597556</v>
      </c>
      <c r="J52" s="31">
        <f t="shared" si="66"/>
        <v>988606092</v>
      </c>
      <c r="K52" s="30">
        <f t="shared" si="41"/>
        <v>268472500</v>
      </c>
      <c r="L52" s="30">
        <f t="shared" si="42"/>
        <v>708865032</v>
      </c>
      <c r="M52" s="30">
        <f t="shared" si="43"/>
        <v>977337532</v>
      </c>
      <c r="N52" s="30">
        <f t="shared" si="44"/>
        <v>2451047586</v>
      </c>
      <c r="O52" s="30">
        <f t="shared" si="45"/>
        <v>50332400</v>
      </c>
      <c r="P52" s="30">
        <f t="shared" si="46"/>
        <v>168006049</v>
      </c>
      <c r="Q52" s="30">
        <f t="shared" si="47"/>
        <v>33554592</v>
      </c>
      <c r="R52" s="30">
        <f t="shared" si="48"/>
        <v>2602276851</v>
      </c>
      <c r="S52" s="30">
        <f t="shared" si="49"/>
        <v>3562451530</v>
      </c>
      <c r="T52" s="30">
        <f t="shared" si="50"/>
        <v>1453503890</v>
      </c>
      <c r="U52" s="30">
        <f t="shared" si="51"/>
        <v>3595131530</v>
      </c>
      <c r="V52" s="30">
        <f t="shared" si="52"/>
        <v>1409462274</v>
      </c>
      <c r="W52" s="30">
        <f t="shared" si="53"/>
        <v>2197030872</v>
      </c>
      <c r="X52" s="30">
        <f t="shared" si="54"/>
        <v>2185233032</v>
      </c>
      <c r="Y52" s="30">
        <f t="shared" si="55"/>
        <v>1421696338</v>
      </c>
      <c r="Z52" s="30">
        <f t="shared" si="56"/>
        <v>2915437500</v>
      </c>
      <c r="AA52" s="30">
        <f t="shared" si="57"/>
        <v>2006300865</v>
      </c>
      <c r="AB52" s="30">
        <f t="shared" si="58"/>
        <v>1622919900</v>
      </c>
      <c r="AC52" s="30">
        <f t="shared" si="59"/>
        <v>629409920</v>
      </c>
      <c r="AD52" s="30">
        <f t="shared" si="60"/>
        <v>3662918525</v>
      </c>
      <c r="AE52" s="30">
        <f t="shared" si="61"/>
        <v>1075020380</v>
      </c>
      <c r="AF52" s="30">
        <f t="shared" si="62"/>
        <v>3135797665</v>
      </c>
      <c r="AG52" s="31">
        <f>MOD(J51+Y52+M52+'📦 SHA-256 Constants'!C50+AN51,4294967296)</f>
        <v>2682474029</v>
      </c>
      <c r="AH52" s="31">
        <f t="shared" si="63"/>
        <v>1443107220</v>
      </c>
      <c r="AI52" s="30">
        <f t="shared" si="64"/>
        <v>2096528681</v>
      </c>
      <c r="AJ52" s="30">
        <f>'📦 SHA-256 Constants'!C50</f>
        <v>4094571909</v>
      </c>
      <c r="AK52" s="25" t="s">
        <v>210</v>
      </c>
      <c r="AM52" s="26">
        <v>47</v>
      </c>
      <c r="AN52" s="31">
        <f t="shared" si="29"/>
        <v>1213710648</v>
      </c>
      <c r="AO52" s="32">
        <f t="shared" si="30"/>
        <v>1993865464</v>
      </c>
      <c r="AP52" s="32">
        <f t="shared" si="31"/>
        <v>369547512</v>
      </c>
      <c r="AQ52" s="32">
        <f t="shared" si="32"/>
        <v>1688644992</v>
      </c>
      <c r="AR52" s="32">
        <f t="shared" si="33"/>
        <v>2889419618</v>
      </c>
      <c r="AS52" s="32">
        <f t="shared" si="34"/>
        <v>2869838552</v>
      </c>
      <c r="AT52" s="32">
        <f t="shared" si="35"/>
        <v>2819097152</v>
      </c>
      <c r="AU52" s="32">
        <f t="shared" si="36"/>
        <v>120781036</v>
      </c>
    </row>
    <row r="53" spans="2:47" ht="13.5" customHeight="1" x14ac:dyDescent="0.25">
      <c r="B53" s="35">
        <v>48</v>
      </c>
      <c r="C53" s="31">
        <f t="shared" si="39"/>
        <v>2460675856</v>
      </c>
      <c r="D53" s="31">
        <f t="shared" si="65"/>
        <v>4125581249</v>
      </c>
      <c r="E53" s="31">
        <f t="shared" si="65"/>
        <v>3071815410</v>
      </c>
      <c r="F53" s="31">
        <f t="shared" si="65"/>
        <v>3659240867</v>
      </c>
      <c r="G53" s="31">
        <f t="shared" si="40"/>
        <v>2297046025</v>
      </c>
      <c r="H53" s="31">
        <f t="shared" si="66"/>
        <v>1614943882</v>
      </c>
      <c r="I53" s="31">
        <f t="shared" si="66"/>
        <v>363631285</v>
      </c>
      <c r="J53" s="31">
        <f t="shared" si="66"/>
        <v>810597556</v>
      </c>
      <c r="K53" s="30">
        <f t="shared" si="41"/>
        <v>4736</v>
      </c>
      <c r="L53" s="30">
        <f t="shared" si="42"/>
        <v>269527092</v>
      </c>
      <c r="M53" s="30">
        <f t="shared" si="43"/>
        <v>269531828</v>
      </c>
      <c r="N53" s="30">
        <f t="shared" si="44"/>
        <v>3036679872</v>
      </c>
      <c r="O53" s="30">
        <f t="shared" si="45"/>
        <v>3489863041</v>
      </c>
      <c r="P53" s="30">
        <f t="shared" si="46"/>
        <v>2451047586</v>
      </c>
      <c r="Q53" s="30">
        <f t="shared" si="47"/>
        <v>2415920256</v>
      </c>
      <c r="R53" s="30">
        <f t="shared" si="48"/>
        <v>4145749987</v>
      </c>
      <c r="S53" s="30">
        <f t="shared" si="49"/>
        <v>696322138</v>
      </c>
      <c r="T53" s="30">
        <f t="shared" si="50"/>
        <v>3511420994</v>
      </c>
      <c r="U53" s="30">
        <f t="shared" si="51"/>
        <v>554386736</v>
      </c>
      <c r="V53" s="30">
        <f t="shared" si="52"/>
        <v>16779330</v>
      </c>
      <c r="W53" s="30">
        <f t="shared" si="53"/>
        <v>4174184472</v>
      </c>
      <c r="X53" s="30">
        <f t="shared" si="54"/>
        <v>537460752</v>
      </c>
      <c r="Y53" s="30">
        <f t="shared" si="55"/>
        <v>3653649704</v>
      </c>
      <c r="Z53" s="30">
        <f t="shared" si="56"/>
        <v>2105137136</v>
      </c>
      <c r="AA53" s="30">
        <f t="shared" si="57"/>
        <v>4262440762</v>
      </c>
      <c r="AB53" s="30">
        <f t="shared" si="58"/>
        <v>2642347991</v>
      </c>
      <c r="AC53" s="30">
        <f t="shared" si="59"/>
        <v>2080999216</v>
      </c>
      <c r="AD53" s="30">
        <f t="shared" si="60"/>
        <v>2205579466</v>
      </c>
      <c r="AE53" s="30">
        <f t="shared" si="61"/>
        <v>2171994306</v>
      </c>
      <c r="AF53" s="30">
        <f t="shared" si="62"/>
        <v>503938845</v>
      </c>
      <c r="AG53" s="31">
        <f>MOD(J52+Y53+M53+'📦 SHA-256 Constants'!C51+AN52,4294967296)</f>
        <v>2105954320</v>
      </c>
      <c r="AH53" s="31">
        <f t="shared" si="63"/>
        <v>354721536</v>
      </c>
      <c r="AI53" s="30">
        <f t="shared" si="64"/>
        <v>1213710648</v>
      </c>
      <c r="AJ53" s="30">
        <f>'📦 SHA-256 Constants'!C51</f>
        <v>275423344</v>
      </c>
      <c r="AK53" s="25" t="s">
        <v>211</v>
      </c>
      <c r="AM53" s="26">
        <v>48</v>
      </c>
      <c r="AN53" s="31">
        <f t="shared" si="29"/>
        <v>2743028353</v>
      </c>
      <c r="AO53" s="32">
        <f t="shared" si="30"/>
        <v>2518171962</v>
      </c>
      <c r="AP53" s="32">
        <f t="shared" si="31"/>
        <v>101728520</v>
      </c>
      <c r="AQ53" s="32">
        <f t="shared" si="32"/>
        <v>2966327707</v>
      </c>
      <c r="AR53" s="32">
        <f t="shared" si="33"/>
        <v>1049935483</v>
      </c>
      <c r="AS53" s="32">
        <f t="shared" si="34"/>
        <v>3483709342</v>
      </c>
      <c r="AT53" s="32">
        <f t="shared" si="35"/>
        <v>243543578</v>
      </c>
      <c r="AU53" s="32">
        <f t="shared" si="36"/>
        <v>4046367866</v>
      </c>
    </row>
    <row r="54" spans="2:47" ht="13.5" customHeight="1" x14ac:dyDescent="0.25">
      <c r="B54" s="36">
        <v>49</v>
      </c>
      <c r="C54" s="37">
        <f t="shared" si="39"/>
        <v>2214128832</v>
      </c>
      <c r="D54" s="37">
        <f t="shared" si="65"/>
        <v>2460675856</v>
      </c>
      <c r="E54" s="37">
        <f t="shared" si="65"/>
        <v>4125581249</v>
      </c>
      <c r="F54" s="37">
        <f t="shared" si="65"/>
        <v>3071815410</v>
      </c>
      <c r="G54" s="37">
        <f t="shared" si="40"/>
        <v>2933368250</v>
      </c>
      <c r="H54" s="37">
        <f t="shared" si="66"/>
        <v>2297046025</v>
      </c>
      <c r="I54" s="37">
        <f t="shared" si="66"/>
        <v>1614943882</v>
      </c>
      <c r="J54" s="37">
        <f t="shared" si="66"/>
        <v>363631285</v>
      </c>
      <c r="K54" s="30">
        <f t="shared" si="41"/>
        <v>4326408</v>
      </c>
      <c r="L54" s="30">
        <f t="shared" si="42"/>
        <v>352621236</v>
      </c>
      <c r="M54" s="30">
        <f t="shared" si="43"/>
        <v>356947644</v>
      </c>
      <c r="N54" s="30">
        <f t="shared" si="44"/>
        <v>2426556160</v>
      </c>
      <c r="O54" s="30">
        <f t="shared" si="45"/>
        <v>2450009616</v>
      </c>
      <c r="P54" s="30">
        <f t="shared" si="46"/>
        <v>3036679872</v>
      </c>
      <c r="Q54" s="30">
        <f t="shared" si="47"/>
        <v>2415922688</v>
      </c>
      <c r="R54" s="30">
        <f t="shared" si="48"/>
        <v>3081400272</v>
      </c>
      <c r="S54" s="30">
        <f t="shared" si="49"/>
        <v>639871120</v>
      </c>
      <c r="T54" s="30">
        <f t="shared" si="50"/>
        <v>2167479620</v>
      </c>
      <c r="U54" s="30">
        <f t="shared" si="51"/>
        <v>1964115140</v>
      </c>
      <c r="V54" s="30">
        <f t="shared" si="52"/>
        <v>2164736</v>
      </c>
      <c r="W54" s="30">
        <f t="shared" si="53"/>
        <v>2803021268</v>
      </c>
      <c r="X54" s="30">
        <f t="shared" si="54"/>
        <v>621937860</v>
      </c>
      <c r="Y54" s="30">
        <f t="shared" si="55"/>
        <v>3523260688</v>
      </c>
      <c r="Z54" s="30">
        <f t="shared" si="56"/>
        <v>615168964</v>
      </c>
      <c r="AA54" s="30">
        <f t="shared" si="57"/>
        <v>2021954903</v>
      </c>
      <c r="AB54" s="30">
        <f t="shared" si="58"/>
        <v>2881241674</v>
      </c>
      <c r="AC54" s="30">
        <f t="shared" si="59"/>
        <v>545296708</v>
      </c>
      <c r="AD54" s="30">
        <f t="shared" si="60"/>
        <v>1546530451</v>
      </c>
      <c r="AE54" s="30">
        <f t="shared" si="61"/>
        <v>137101826</v>
      </c>
      <c r="AF54" s="30">
        <f t="shared" si="62"/>
        <v>4153568473</v>
      </c>
      <c r="AG54" s="37">
        <f>MOD(J53+Y54+M54+'📦 SHA-256 Constants'!C52+AN53,4294967296)</f>
        <v>3569094679</v>
      </c>
      <c r="AH54" s="37">
        <f t="shared" si="63"/>
        <v>2940001449</v>
      </c>
      <c r="AI54" s="30">
        <f t="shared" si="64"/>
        <v>2743028353</v>
      </c>
      <c r="AJ54" s="30">
        <f>'📦 SHA-256 Constants'!C52</f>
        <v>430227734</v>
      </c>
      <c r="AK54" s="25" t="s">
        <v>212</v>
      </c>
      <c r="AM54" s="26">
        <v>49</v>
      </c>
      <c r="AN54" s="31">
        <f t="shared" si="29"/>
        <v>905510147</v>
      </c>
      <c r="AO54" s="32">
        <f t="shared" si="30"/>
        <v>3091484740</v>
      </c>
      <c r="AP54" s="32">
        <f t="shared" si="31"/>
        <v>134479872</v>
      </c>
      <c r="AQ54" s="32">
        <f t="shared" si="32"/>
        <v>3029752965</v>
      </c>
      <c r="AR54" s="32">
        <f t="shared" si="33"/>
        <v>3768329259</v>
      </c>
      <c r="AS54" s="32">
        <f t="shared" si="34"/>
        <v>4163307786</v>
      </c>
      <c r="AT54" s="32">
        <f t="shared" si="35"/>
        <v>3758358538</v>
      </c>
      <c r="AU54" s="32">
        <f t="shared" si="36"/>
        <v>413743313</v>
      </c>
    </row>
    <row r="55" spans="2:47" ht="13.5" customHeight="1" x14ac:dyDescent="0.25">
      <c r="B55" s="36">
        <v>50</v>
      </c>
      <c r="C55" s="37">
        <f t="shared" si="39"/>
        <v>2718933429</v>
      </c>
      <c r="D55" s="37">
        <f t="shared" si="65"/>
        <v>2214128832</v>
      </c>
      <c r="E55" s="37">
        <f t="shared" si="65"/>
        <v>2460675856</v>
      </c>
      <c r="F55" s="37">
        <f t="shared" si="65"/>
        <v>4125581249</v>
      </c>
      <c r="G55" s="37">
        <f t="shared" si="40"/>
        <v>536066543</v>
      </c>
      <c r="H55" s="37">
        <f t="shared" si="66"/>
        <v>2933368250</v>
      </c>
      <c r="I55" s="37">
        <f t="shared" si="66"/>
        <v>2297046025</v>
      </c>
      <c r="J55" s="37">
        <f t="shared" si="66"/>
        <v>1614943882</v>
      </c>
      <c r="K55" s="30">
        <f t="shared" si="41"/>
        <v>2294424584</v>
      </c>
      <c r="L55" s="30">
        <f t="shared" si="42"/>
        <v>1073746432</v>
      </c>
      <c r="M55" s="30">
        <f t="shared" si="43"/>
        <v>3368171016</v>
      </c>
      <c r="N55" s="30">
        <f t="shared" si="44"/>
        <v>2192108544</v>
      </c>
      <c r="O55" s="30">
        <f t="shared" si="45"/>
        <v>2178960576</v>
      </c>
      <c r="P55" s="30">
        <f t="shared" si="46"/>
        <v>2426556160</v>
      </c>
      <c r="Q55" s="30">
        <f t="shared" si="47"/>
        <v>2157988864</v>
      </c>
      <c r="R55" s="30">
        <f t="shared" si="48"/>
        <v>2481647552</v>
      </c>
      <c r="S55" s="30">
        <f t="shared" si="49"/>
        <v>3938147990</v>
      </c>
      <c r="T55" s="30">
        <f t="shared" si="50"/>
        <v>3075857140</v>
      </c>
      <c r="U55" s="30">
        <f t="shared" si="51"/>
        <v>1808981335</v>
      </c>
      <c r="V55" s="30">
        <f t="shared" si="52"/>
        <v>2719046292</v>
      </c>
      <c r="W55" s="30">
        <f t="shared" si="53"/>
        <v>1575912546</v>
      </c>
      <c r="X55" s="30">
        <f t="shared" si="54"/>
        <v>1237484610</v>
      </c>
      <c r="Y55" s="30">
        <f t="shared" si="55"/>
        <v>909924661</v>
      </c>
      <c r="Z55" s="30">
        <f t="shared" si="56"/>
        <v>553532208</v>
      </c>
      <c r="AA55" s="30">
        <f t="shared" si="57"/>
        <v>1711546311</v>
      </c>
      <c r="AB55" s="30">
        <f t="shared" si="58"/>
        <v>3820159503</v>
      </c>
      <c r="AC55" s="30">
        <f t="shared" si="59"/>
        <v>537139968</v>
      </c>
      <c r="AD55" s="30">
        <f t="shared" si="60"/>
        <v>1190798583</v>
      </c>
      <c r="AE55" s="30">
        <f t="shared" si="61"/>
        <v>1118961671</v>
      </c>
      <c r="AF55" s="30">
        <f t="shared" si="62"/>
        <v>2773034744</v>
      </c>
      <c r="AG55" s="37">
        <f>MOD(J54+Y55+M55+'📦 SHA-256 Constants'!C53+AN54,4294967296)</f>
        <v>1759218429</v>
      </c>
      <c r="AH55" s="37">
        <f t="shared" si="63"/>
        <v>959715000</v>
      </c>
      <c r="AI55" s="30">
        <f t="shared" si="64"/>
        <v>905510147</v>
      </c>
      <c r="AJ55" s="30">
        <f>'📦 SHA-256 Constants'!C53</f>
        <v>506948616</v>
      </c>
      <c r="AK55" s="25" t="s">
        <v>213</v>
      </c>
      <c r="AM55" s="26">
        <v>50</v>
      </c>
      <c r="AN55" s="31">
        <f t="shared" si="29"/>
        <v>4050648290</v>
      </c>
      <c r="AO55" s="32">
        <f t="shared" si="30"/>
        <v>3084662180</v>
      </c>
      <c r="AP55" s="32">
        <f t="shared" si="31"/>
        <v>3029610884</v>
      </c>
      <c r="AQ55" s="32">
        <f t="shared" si="32"/>
        <v>512332905</v>
      </c>
      <c r="AR55" s="32">
        <f t="shared" si="33"/>
        <v>2772488639</v>
      </c>
      <c r="AS55" s="32">
        <f t="shared" si="34"/>
        <v>3914347631</v>
      </c>
      <c r="AT55" s="32">
        <f t="shared" si="35"/>
        <v>2705330223</v>
      </c>
      <c r="AU55" s="32">
        <f t="shared" si="36"/>
        <v>1278753282</v>
      </c>
    </row>
    <row r="56" spans="2:47" ht="13.5" customHeight="1" x14ac:dyDescent="0.25">
      <c r="B56" s="36">
        <v>51</v>
      </c>
      <c r="C56" s="37">
        <f t="shared" si="39"/>
        <v>1584010153</v>
      </c>
      <c r="D56" s="37">
        <f t="shared" si="65"/>
        <v>2718933429</v>
      </c>
      <c r="E56" s="37">
        <f t="shared" si="65"/>
        <v>2214128832</v>
      </c>
      <c r="F56" s="37">
        <f t="shared" si="65"/>
        <v>2460675856</v>
      </c>
      <c r="G56" s="37">
        <f t="shared" si="40"/>
        <v>1979602754</v>
      </c>
      <c r="H56" s="37">
        <f t="shared" si="66"/>
        <v>536066543</v>
      </c>
      <c r="I56" s="37">
        <f t="shared" si="66"/>
        <v>2933368250</v>
      </c>
      <c r="J56" s="37">
        <f t="shared" si="66"/>
        <v>2297046025</v>
      </c>
      <c r="K56" s="30">
        <f t="shared" si="41"/>
        <v>248750506</v>
      </c>
      <c r="L56" s="30">
        <f t="shared" si="42"/>
        <v>2148008960</v>
      </c>
      <c r="M56" s="30">
        <f t="shared" si="43"/>
        <v>2396759466</v>
      </c>
      <c r="N56" s="30">
        <f t="shared" si="44"/>
        <v>2181603456</v>
      </c>
      <c r="O56" s="30">
        <f t="shared" si="45"/>
        <v>2181734672</v>
      </c>
      <c r="P56" s="30">
        <f t="shared" si="46"/>
        <v>2192108544</v>
      </c>
      <c r="Q56" s="30">
        <f t="shared" si="47"/>
        <v>2181603328</v>
      </c>
      <c r="R56" s="30">
        <f t="shared" si="48"/>
        <v>2192240016</v>
      </c>
      <c r="S56" s="30">
        <f t="shared" si="49"/>
        <v>3162492647</v>
      </c>
      <c r="T56" s="30">
        <f t="shared" si="50"/>
        <v>1038351991</v>
      </c>
      <c r="U56" s="30">
        <f t="shared" si="51"/>
        <v>4192008079</v>
      </c>
      <c r="V56" s="30">
        <f t="shared" si="52"/>
        <v>1013173863</v>
      </c>
      <c r="W56" s="30">
        <f t="shared" si="53"/>
        <v>2174496912</v>
      </c>
      <c r="X56" s="30">
        <f t="shared" si="54"/>
        <v>2174496896</v>
      </c>
      <c r="Y56" s="30">
        <f t="shared" si="55"/>
        <v>2017511199</v>
      </c>
      <c r="Z56" s="30">
        <f t="shared" si="56"/>
        <v>1753475181</v>
      </c>
      <c r="AA56" s="30">
        <f t="shared" si="57"/>
        <v>229445757</v>
      </c>
      <c r="AB56" s="30">
        <f t="shared" si="58"/>
        <v>1049024136</v>
      </c>
      <c r="AC56" s="30">
        <f t="shared" si="59"/>
        <v>142671981</v>
      </c>
      <c r="AD56" s="30">
        <f t="shared" si="60"/>
        <v>1697576976</v>
      </c>
      <c r="AE56" s="30">
        <f t="shared" si="61"/>
        <v>604426240</v>
      </c>
      <c r="AF56" s="30">
        <f t="shared" si="62"/>
        <v>1537748632</v>
      </c>
      <c r="AG56" s="37">
        <f>MOD(J55+Y56+M56+'📦 SHA-256 Constants'!C54+AN55,4294967296)</f>
        <v>2148988801</v>
      </c>
      <c r="AH56" s="37">
        <f t="shared" si="63"/>
        <v>3729988648</v>
      </c>
      <c r="AI56" s="30">
        <f t="shared" si="64"/>
        <v>4050648290</v>
      </c>
      <c r="AJ56" s="30">
        <f>'📦 SHA-256 Constants'!C54</f>
        <v>659060556</v>
      </c>
      <c r="AK56" s="25" t="s">
        <v>214</v>
      </c>
      <c r="AM56" s="26">
        <v>51</v>
      </c>
      <c r="AN56" s="31">
        <f t="shared" si="29"/>
        <v>1834262428</v>
      </c>
      <c r="AO56" s="32">
        <f t="shared" si="30"/>
        <v>2710282544</v>
      </c>
      <c r="AP56" s="32">
        <f t="shared" si="31"/>
        <v>536879408</v>
      </c>
      <c r="AQ56" s="32">
        <f t="shared" si="32"/>
        <v>2670035790</v>
      </c>
      <c r="AR56" s="32">
        <f t="shared" si="33"/>
        <v>2122423036</v>
      </c>
      <c r="AS56" s="32">
        <f t="shared" si="34"/>
        <v>530605759</v>
      </c>
      <c r="AT56" s="32">
        <f t="shared" si="35"/>
        <v>511705788</v>
      </c>
      <c r="AU56" s="32">
        <f t="shared" si="36"/>
        <v>1630306940</v>
      </c>
    </row>
    <row r="57" spans="2:47" ht="13.5" customHeight="1" x14ac:dyDescent="0.25">
      <c r="B57" s="36">
        <v>52</v>
      </c>
      <c r="C57" s="37">
        <f t="shared" si="39"/>
        <v>3466563173</v>
      </c>
      <c r="D57" s="37">
        <f t="shared" si="65"/>
        <v>1584010153</v>
      </c>
      <c r="E57" s="37">
        <f t="shared" si="65"/>
        <v>2718933429</v>
      </c>
      <c r="F57" s="37">
        <f t="shared" si="65"/>
        <v>2214128832</v>
      </c>
      <c r="G57" s="37">
        <f t="shared" si="40"/>
        <v>2084636945</v>
      </c>
      <c r="H57" s="37">
        <f t="shared" si="66"/>
        <v>1979602754</v>
      </c>
      <c r="I57" s="37">
        <f t="shared" si="66"/>
        <v>536066543</v>
      </c>
      <c r="J57" s="37">
        <f t="shared" si="66"/>
        <v>2933368250</v>
      </c>
      <c r="K57" s="30">
        <f t="shared" si="41"/>
        <v>368185666</v>
      </c>
      <c r="L57" s="30">
        <f t="shared" si="42"/>
        <v>2315362488</v>
      </c>
      <c r="M57" s="30">
        <f t="shared" si="43"/>
        <v>2683548154</v>
      </c>
      <c r="N57" s="30">
        <f t="shared" si="44"/>
        <v>34210209</v>
      </c>
      <c r="O57" s="30">
        <f t="shared" si="45"/>
        <v>40370304</v>
      </c>
      <c r="P57" s="30">
        <f t="shared" si="46"/>
        <v>2181603456</v>
      </c>
      <c r="Q57" s="30">
        <f t="shared" si="47"/>
        <v>34078848</v>
      </c>
      <c r="R57" s="30">
        <f t="shared" si="48"/>
        <v>2188026273</v>
      </c>
      <c r="S57" s="30">
        <f t="shared" si="49"/>
        <v>165149021</v>
      </c>
      <c r="T57" s="30">
        <f t="shared" si="50"/>
        <v>3897475018</v>
      </c>
      <c r="U57" s="30">
        <f t="shared" si="51"/>
        <v>4281049402</v>
      </c>
      <c r="V57" s="30">
        <f t="shared" si="52"/>
        <v>138852680</v>
      </c>
      <c r="W57" s="30">
        <f t="shared" si="53"/>
        <v>3784918679</v>
      </c>
      <c r="X57" s="30">
        <f t="shared" si="54"/>
        <v>3775463442</v>
      </c>
      <c r="Y57" s="30">
        <f t="shared" si="55"/>
        <v>515041197</v>
      </c>
      <c r="Z57" s="30">
        <f t="shared" si="56"/>
        <v>1469744362</v>
      </c>
      <c r="AA57" s="30">
        <f t="shared" si="57"/>
        <v>2638934864</v>
      </c>
      <c r="AB57" s="30">
        <f t="shared" si="58"/>
        <v>2823726457</v>
      </c>
      <c r="AC57" s="30">
        <f t="shared" si="59"/>
        <v>353009728</v>
      </c>
      <c r="AD57" s="30">
        <f t="shared" si="60"/>
        <v>3402659770</v>
      </c>
      <c r="AE57" s="30">
        <f t="shared" si="61"/>
        <v>2285905208</v>
      </c>
      <c r="AF57" s="30">
        <f t="shared" si="62"/>
        <v>1654575811</v>
      </c>
      <c r="AG57" s="37">
        <f>MOD(J56+Y57+M57+'📦 SHA-256 Constants'!C55+AN56,4294967296)</f>
        <v>3918928385</v>
      </c>
      <c r="AH57" s="37">
        <f t="shared" si="63"/>
        <v>3842602084</v>
      </c>
      <c r="AI57" s="30">
        <f t="shared" si="64"/>
        <v>1834262428</v>
      </c>
      <c r="AJ57" s="30">
        <f>'📦 SHA-256 Constants'!C55</f>
        <v>883997877</v>
      </c>
      <c r="AK57" s="25" t="s">
        <v>215</v>
      </c>
      <c r="AM57" s="26">
        <v>52</v>
      </c>
      <c r="AN57" s="31">
        <f t="shared" si="29"/>
        <v>2704274196</v>
      </c>
      <c r="AO57" s="32">
        <f t="shared" si="30"/>
        <v>68052529</v>
      </c>
      <c r="AP57" s="32">
        <f t="shared" si="31"/>
        <v>67108864</v>
      </c>
      <c r="AQ57" s="32">
        <f t="shared" si="32"/>
        <v>3267921133</v>
      </c>
      <c r="AR57" s="32">
        <f t="shared" si="33"/>
        <v>4268849335</v>
      </c>
      <c r="AS57" s="32">
        <f t="shared" si="34"/>
        <v>4288437805</v>
      </c>
      <c r="AT57" s="32">
        <f t="shared" si="35"/>
        <v>4262484005</v>
      </c>
      <c r="AU57" s="32">
        <f t="shared" si="36"/>
        <v>30506341</v>
      </c>
    </row>
    <row r="58" spans="2:47" ht="13.5" customHeight="1" x14ac:dyDescent="0.25">
      <c r="B58" s="36">
        <v>53</v>
      </c>
      <c r="C58" s="37">
        <f t="shared" si="39"/>
        <v>2502942766</v>
      </c>
      <c r="D58" s="37">
        <f t="shared" si="65"/>
        <v>3466563173</v>
      </c>
      <c r="E58" s="37">
        <f t="shared" si="65"/>
        <v>1584010153</v>
      </c>
      <c r="F58" s="37">
        <f t="shared" si="65"/>
        <v>2718933429</v>
      </c>
      <c r="G58" s="37">
        <f t="shared" si="40"/>
        <v>3429452010</v>
      </c>
      <c r="H58" s="37">
        <f t="shared" si="66"/>
        <v>2084636945</v>
      </c>
      <c r="I58" s="37">
        <f t="shared" si="66"/>
        <v>1979602754</v>
      </c>
      <c r="J58" s="37">
        <f t="shared" si="66"/>
        <v>536066543</v>
      </c>
      <c r="K58" s="30">
        <f t="shared" si="41"/>
        <v>1950351616</v>
      </c>
      <c r="L58" s="30">
        <f t="shared" si="42"/>
        <v>62042350</v>
      </c>
      <c r="M58" s="30">
        <f t="shared" si="43"/>
        <v>2012393966</v>
      </c>
      <c r="N58" s="30">
        <f t="shared" si="44"/>
        <v>1309278753</v>
      </c>
      <c r="O58" s="30">
        <f t="shared" si="45"/>
        <v>2182053925</v>
      </c>
      <c r="P58" s="30">
        <f t="shared" si="46"/>
        <v>34210209</v>
      </c>
      <c r="Q58" s="30">
        <f t="shared" si="47"/>
        <v>34209825</v>
      </c>
      <c r="R58" s="30">
        <f t="shared" si="48"/>
        <v>3457123237</v>
      </c>
      <c r="S58" s="30">
        <f t="shared" si="49"/>
        <v>1173423140</v>
      </c>
      <c r="T58" s="30">
        <f t="shared" si="50"/>
        <v>573540385</v>
      </c>
      <c r="U58" s="30">
        <f t="shared" si="51"/>
        <v>545556670</v>
      </c>
      <c r="V58" s="30">
        <f t="shared" si="52"/>
        <v>2162720</v>
      </c>
      <c r="W58" s="30">
        <f t="shared" si="53"/>
        <v>1742638085</v>
      </c>
      <c r="X58" s="30">
        <f t="shared" si="54"/>
        <v>545556484</v>
      </c>
      <c r="Y58" s="30">
        <f t="shared" si="55"/>
        <v>1197081787</v>
      </c>
      <c r="Z58" s="30">
        <f t="shared" si="56"/>
        <v>1940382617</v>
      </c>
      <c r="AA58" s="30">
        <f t="shared" si="57"/>
        <v>1932424444</v>
      </c>
      <c r="AB58" s="30">
        <f t="shared" si="58"/>
        <v>2117703482</v>
      </c>
      <c r="AC58" s="30">
        <f t="shared" si="59"/>
        <v>1931894936</v>
      </c>
      <c r="AD58" s="30">
        <f t="shared" si="60"/>
        <v>9017189</v>
      </c>
      <c r="AE58" s="30">
        <f t="shared" si="61"/>
        <v>628512</v>
      </c>
      <c r="AF58" s="30">
        <f t="shared" si="62"/>
        <v>2125463647</v>
      </c>
      <c r="AG58" s="37">
        <f>MOD(J57+Y58+M58+'📦 SHA-256 Constants'!C56+AN57,4294967296)</f>
        <v>1215323178</v>
      </c>
      <c r="AH58" s="37">
        <f t="shared" si="63"/>
        <v>1287619588</v>
      </c>
      <c r="AI58" s="30">
        <f t="shared" si="64"/>
        <v>2704274196</v>
      </c>
      <c r="AJ58" s="30">
        <f>'📦 SHA-256 Constants'!C56</f>
        <v>958139571</v>
      </c>
      <c r="AK58" s="25" t="s">
        <v>216</v>
      </c>
      <c r="AM58" s="26">
        <v>53</v>
      </c>
      <c r="AN58" s="31">
        <f t="shared" si="29"/>
        <v>4051799476</v>
      </c>
      <c r="AO58" s="32">
        <f t="shared" si="30"/>
        <v>2335107143</v>
      </c>
      <c r="AP58" s="32">
        <f t="shared" si="31"/>
        <v>136339525</v>
      </c>
      <c r="AQ58" s="32">
        <f t="shared" si="32"/>
        <v>2435910114</v>
      </c>
      <c r="AR58" s="32">
        <f t="shared" si="33"/>
        <v>1338914474</v>
      </c>
      <c r="AS58" s="32">
        <f t="shared" si="34"/>
        <v>2482212266</v>
      </c>
      <c r="AT58" s="32">
        <f t="shared" si="35"/>
        <v>63046826</v>
      </c>
      <c r="AU58" s="32">
        <f t="shared" si="36"/>
        <v>3693538855</v>
      </c>
    </row>
    <row r="59" spans="2:47" ht="13.5" customHeight="1" x14ac:dyDescent="0.25">
      <c r="B59" s="36">
        <v>54</v>
      </c>
      <c r="C59" s="37">
        <f t="shared" si="39"/>
        <v>1524685734</v>
      </c>
      <c r="D59" s="37">
        <f t="shared" si="65"/>
        <v>2502942766</v>
      </c>
      <c r="E59" s="37">
        <f t="shared" si="65"/>
        <v>3466563173</v>
      </c>
      <c r="F59" s="37">
        <f t="shared" si="65"/>
        <v>1584010153</v>
      </c>
      <c r="G59" s="37">
        <f t="shared" si="40"/>
        <v>50401294</v>
      </c>
      <c r="H59" s="37">
        <f t="shared" si="66"/>
        <v>3429452010</v>
      </c>
      <c r="I59" s="37">
        <f t="shared" si="66"/>
        <v>2084636945</v>
      </c>
      <c r="J59" s="37">
        <f t="shared" si="66"/>
        <v>1979602754</v>
      </c>
      <c r="K59" s="30">
        <f t="shared" si="41"/>
        <v>1279330304</v>
      </c>
      <c r="L59" s="30">
        <f t="shared" si="42"/>
        <v>831919872</v>
      </c>
      <c r="M59" s="30">
        <f t="shared" si="43"/>
        <v>2111250176</v>
      </c>
      <c r="N59" s="30">
        <f t="shared" si="44"/>
        <v>2215608356</v>
      </c>
      <c r="O59" s="30">
        <f t="shared" si="45"/>
        <v>338296872</v>
      </c>
      <c r="P59" s="30">
        <f t="shared" si="46"/>
        <v>1309278753</v>
      </c>
      <c r="Q59" s="30">
        <f t="shared" si="47"/>
        <v>67764256</v>
      </c>
      <c r="R59" s="30">
        <f t="shared" si="48"/>
        <v>3727655469</v>
      </c>
      <c r="S59" s="30">
        <f t="shared" si="49"/>
        <v>2872157475</v>
      </c>
      <c r="T59" s="30">
        <f t="shared" si="50"/>
        <v>492408105</v>
      </c>
      <c r="U59" s="30">
        <f t="shared" si="51"/>
        <v>883193190</v>
      </c>
      <c r="V59" s="30">
        <f t="shared" si="52"/>
        <v>152143137</v>
      </c>
      <c r="W59" s="30">
        <f t="shared" si="53"/>
        <v>3060279306</v>
      </c>
      <c r="X59" s="30">
        <f t="shared" si="54"/>
        <v>874520578</v>
      </c>
      <c r="Y59" s="30">
        <f t="shared" si="55"/>
        <v>2194431340</v>
      </c>
      <c r="Z59" s="30">
        <f t="shared" si="56"/>
        <v>2773219339</v>
      </c>
      <c r="AA59" s="30">
        <f t="shared" si="57"/>
        <v>24422783</v>
      </c>
      <c r="AB59" s="30">
        <f t="shared" si="58"/>
        <v>3212884564</v>
      </c>
      <c r="AC59" s="30">
        <f t="shared" si="59"/>
        <v>21014539</v>
      </c>
      <c r="AD59" s="30">
        <f t="shared" si="60"/>
        <v>2755613044</v>
      </c>
      <c r="AE59" s="30">
        <f t="shared" si="61"/>
        <v>2751467604</v>
      </c>
      <c r="AF59" s="30">
        <f t="shared" si="62"/>
        <v>465562400</v>
      </c>
      <c r="AG59" s="37">
        <f>MOD(J58+Y59+M59+'📦 SHA-256 Constants'!C57+AN58,4294967296)</f>
        <v>1626435161</v>
      </c>
      <c r="AH59" s="37">
        <f t="shared" si="63"/>
        <v>4193217869</v>
      </c>
      <c r="AI59" s="30">
        <f t="shared" si="64"/>
        <v>4051799476</v>
      </c>
      <c r="AJ59" s="30">
        <f>'📦 SHA-256 Constants'!C57</f>
        <v>1322822218</v>
      </c>
      <c r="AK59" s="25" t="s">
        <v>217</v>
      </c>
      <c r="AM59" s="26">
        <v>54</v>
      </c>
      <c r="AN59" s="31">
        <f t="shared" si="29"/>
        <v>4190818614</v>
      </c>
      <c r="AO59" s="32">
        <f t="shared" si="30"/>
        <v>4081897389</v>
      </c>
      <c r="AP59" s="32">
        <f t="shared" si="31"/>
        <v>4044114313</v>
      </c>
      <c r="AQ59" s="32">
        <f t="shared" si="32"/>
        <v>306076907</v>
      </c>
      <c r="AR59" s="32">
        <f t="shared" si="33"/>
        <v>4186591383</v>
      </c>
      <c r="AS59" s="32">
        <f t="shared" si="34"/>
        <v>4267873317</v>
      </c>
      <c r="AT59" s="32">
        <f t="shared" si="35"/>
        <v>4160884741</v>
      </c>
      <c r="AU59" s="32">
        <f t="shared" si="36"/>
        <v>130060110</v>
      </c>
    </row>
    <row r="60" spans="2:47" ht="13.5" customHeight="1" x14ac:dyDescent="0.25">
      <c r="B60" s="36">
        <v>55</v>
      </c>
      <c r="C60" s="37">
        <f t="shared" si="39"/>
        <v>2826936815</v>
      </c>
      <c r="D60" s="37">
        <f t="shared" si="65"/>
        <v>1524685734</v>
      </c>
      <c r="E60" s="37">
        <f t="shared" si="65"/>
        <v>2502942766</v>
      </c>
      <c r="F60" s="37">
        <f t="shared" si="65"/>
        <v>3466563173</v>
      </c>
      <c r="G60" s="37">
        <f t="shared" si="40"/>
        <v>1599435502</v>
      </c>
      <c r="H60" s="37">
        <f t="shared" si="66"/>
        <v>50401294</v>
      </c>
      <c r="I60" s="37">
        <f t="shared" si="66"/>
        <v>3429452010</v>
      </c>
      <c r="J60" s="37">
        <f t="shared" si="66"/>
        <v>2084636945</v>
      </c>
      <c r="K60" s="30">
        <f t="shared" si="41"/>
        <v>65546</v>
      </c>
      <c r="L60" s="30">
        <f t="shared" si="42"/>
        <v>2084571409</v>
      </c>
      <c r="M60" s="30">
        <f t="shared" si="43"/>
        <v>2084636955</v>
      </c>
      <c r="N60" s="30">
        <f t="shared" si="44"/>
        <v>270581798</v>
      </c>
      <c r="O60" s="30">
        <f t="shared" si="45"/>
        <v>1249937956</v>
      </c>
      <c r="P60" s="30">
        <f t="shared" si="46"/>
        <v>2215608356</v>
      </c>
      <c r="Q60" s="30">
        <f t="shared" si="47"/>
        <v>32804</v>
      </c>
      <c r="R60" s="30">
        <f t="shared" si="48"/>
        <v>3736062502</v>
      </c>
      <c r="S60" s="30">
        <f t="shared" si="49"/>
        <v>940311616</v>
      </c>
      <c r="T60" s="30">
        <f t="shared" si="50"/>
        <v>29384738</v>
      </c>
      <c r="U60" s="30">
        <f t="shared" si="51"/>
        <v>2156398337</v>
      </c>
      <c r="V60" s="30">
        <f t="shared" si="52"/>
        <v>0</v>
      </c>
      <c r="W60" s="30">
        <f t="shared" si="53"/>
        <v>969696354</v>
      </c>
      <c r="X60" s="30">
        <f t="shared" si="54"/>
        <v>8913920</v>
      </c>
      <c r="Y60" s="30">
        <f t="shared" si="55"/>
        <v>3108266851</v>
      </c>
      <c r="Z60" s="30">
        <f t="shared" si="56"/>
        <v>2528655081</v>
      </c>
      <c r="AA60" s="30">
        <f t="shared" si="57"/>
        <v>3711096582</v>
      </c>
      <c r="AB60" s="30">
        <f t="shared" si="58"/>
        <v>2205063531</v>
      </c>
      <c r="AC60" s="30">
        <f t="shared" si="59"/>
        <v>2486179328</v>
      </c>
      <c r="AD60" s="30">
        <f t="shared" si="60"/>
        <v>1267393007</v>
      </c>
      <c r="AE60" s="30">
        <f t="shared" si="61"/>
        <v>51020139</v>
      </c>
      <c r="AF60" s="30">
        <f t="shared" si="62"/>
        <v>3370416260</v>
      </c>
      <c r="AG60" s="37">
        <f>MOD(J59+Y60+M60+'📦 SHA-256 Constants'!C58+AN59,4294967296)</f>
        <v>15425349</v>
      </c>
      <c r="AH60" s="37">
        <f t="shared" si="63"/>
        <v>2811511466</v>
      </c>
      <c r="AI60" s="30">
        <f t="shared" si="64"/>
        <v>4190818614</v>
      </c>
      <c r="AJ60" s="30">
        <f>'📦 SHA-256 Constants'!C58</f>
        <v>1537002063</v>
      </c>
      <c r="AK60" s="25" t="s">
        <v>218</v>
      </c>
      <c r="AM60" s="26">
        <v>55</v>
      </c>
      <c r="AN60" s="31">
        <f t="shared" si="29"/>
        <v>3378566924</v>
      </c>
      <c r="AO60" s="32">
        <f t="shared" si="30"/>
        <v>2373453974</v>
      </c>
      <c r="AP60" s="32">
        <f t="shared" si="31"/>
        <v>5244928</v>
      </c>
      <c r="AQ60" s="32">
        <f t="shared" si="32"/>
        <v>2284400383</v>
      </c>
      <c r="AR60" s="32">
        <f t="shared" si="33"/>
        <v>3336206528</v>
      </c>
      <c r="AS60" s="32">
        <f t="shared" si="34"/>
        <v>834051632</v>
      </c>
      <c r="AT60" s="32">
        <f t="shared" si="35"/>
        <v>9574400</v>
      </c>
      <c r="AU60" s="32">
        <f t="shared" si="36"/>
        <v>4149249683</v>
      </c>
    </row>
    <row r="61" spans="2:47" ht="13.5" customHeight="1" x14ac:dyDescent="0.25">
      <c r="B61" s="36">
        <v>56</v>
      </c>
      <c r="C61" s="37">
        <f t="shared" si="39"/>
        <v>861808445</v>
      </c>
      <c r="D61" s="37">
        <f t="shared" si="65"/>
        <v>2826936815</v>
      </c>
      <c r="E61" s="37">
        <f t="shared" si="65"/>
        <v>1524685734</v>
      </c>
      <c r="F61" s="37">
        <f t="shared" si="65"/>
        <v>2502942766</v>
      </c>
      <c r="G61" s="37">
        <f t="shared" si="40"/>
        <v>1302904525</v>
      </c>
      <c r="H61" s="37">
        <f t="shared" si="66"/>
        <v>1599435502</v>
      </c>
      <c r="I61" s="37">
        <f t="shared" si="66"/>
        <v>50401294</v>
      </c>
      <c r="J61" s="37">
        <f t="shared" si="66"/>
        <v>3429452010</v>
      </c>
      <c r="K61" s="30">
        <f t="shared" si="41"/>
        <v>50401294</v>
      </c>
      <c r="L61" s="30">
        <f t="shared" si="42"/>
        <v>2150107136</v>
      </c>
      <c r="M61" s="30">
        <f t="shared" si="43"/>
        <v>2200508430</v>
      </c>
      <c r="N61" s="30">
        <f t="shared" si="44"/>
        <v>140542374</v>
      </c>
      <c r="O61" s="30">
        <f t="shared" si="45"/>
        <v>2150604846</v>
      </c>
      <c r="P61" s="30">
        <f t="shared" si="46"/>
        <v>270581798</v>
      </c>
      <c r="Q61" s="30">
        <f t="shared" si="47"/>
        <v>2129958</v>
      </c>
      <c r="R61" s="30">
        <f t="shared" si="48"/>
        <v>2557469102</v>
      </c>
      <c r="S61" s="30">
        <f t="shared" si="49"/>
        <v>3111998923</v>
      </c>
      <c r="T61" s="30">
        <f t="shared" si="50"/>
        <v>1573644974</v>
      </c>
      <c r="U61" s="30">
        <f t="shared" si="51"/>
        <v>2864281391</v>
      </c>
      <c r="V61" s="30">
        <f t="shared" si="52"/>
        <v>424231050</v>
      </c>
      <c r="W61" s="30">
        <f t="shared" si="53"/>
        <v>3837181797</v>
      </c>
      <c r="X61" s="30">
        <f t="shared" si="54"/>
        <v>2695903013</v>
      </c>
      <c r="Y61" s="30">
        <f t="shared" si="55"/>
        <v>1309657162</v>
      </c>
      <c r="Z61" s="30">
        <f t="shared" si="56"/>
        <v>3927959675</v>
      </c>
      <c r="AA61" s="30">
        <f t="shared" si="57"/>
        <v>259867645</v>
      </c>
      <c r="AB61" s="30">
        <f t="shared" si="58"/>
        <v>4270309025</v>
      </c>
      <c r="AC61" s="30">
        <f t="shared" si="59"/>
        <v>169689209</v>
      </c>
      <c r="AD61" s="30">
        <f t="shared" si="60"/>
        <v>3848448902</v>
      </c>
      <c r="AE61" s="30">
        <f t="shared" si="61"/>
        <v>3825379968</v>
      </c>
      <c r="AF61" s="30">
        <f t="shared" si="62"/>
        <v>467997991</v>
      </c>
      <c r="AG61" s="37">
        <f>MOD(J60+Y61+M61+'📦 SHA-256 Constants'!C59+AN60,4294967296)</f>
        <v>2131308648</v>
      </c>
      <c r="AH61" s="37">
        <f t="shared" si="63"/>
        <v>3025467093</v>
      </c>
      <c r="AI61" s="30">
        <f t="shared" si="64"/>
        <v>3378566924</v>
      </c>
      <c r="AJ61" s="30">
        <f>'📦 SHA-256 Constants'!C59</f>
        <v>1747873779</v>
      </c>
      <c r="AK61" s="25" t="s">
        <v>219</v>
      </c>
      <c r="AM61" s="26">
        <v>56</v>
      </c>
      <c r="AN61" s="31">
        <f t="shared" si="29"/>
        <v>974714360</v>
      </c>
      <c r="AO61" s="32">
        <f t="shared" si="30"/>
        <v>1663765280</v>
      </c>
      <c r="AP61" s="32">
        <f t="shared" si="31"/>
        <v>1611137312</v>
      </c>
      <c r="AQ61" s="32">
        <f t="shared" si="32"/>
        <v>362273863</v>
      </c>
      <c r="AR61" s="32">
        <f t="shared" si="33"/>
        <v>1755020517</v>
      </c>
      <c r="AS61" s="32">
        <f t="shared" si="34"/>
        <v>1512496953</v>
      </c>
      <c r="AT61" s="32">
        <f t="shared" si="35"/>
        <v>1208114209</v>
      </c>
      <c r="AU61" s="32">
        <f t="shared" si="36"/>
        <v>847499624</v>
      </c>
    </row>
    <row r="62" spans="2:47" ht="13.5" customHeight="1" x14ac:dyDescent="0.25">
      <c r="B62" s="36">
        <v>57</v>
      </c>
      <c r="C62" s="37">
        <f t="shared" si="39"/>
        <v>1257566602</v>
      </c>
      <c r="D62" s="37">
        <f t="shared" si="65"/>
        <v>861808445</v>
      </c>
      <c r="E62" s="37">
        <f t="shared" si="65"/>
        <v>2826936815</v>
      </c>
      <c r="F62" s="37">
        <f t="shared" si="65"/>
        <v>1524685734</v>
      </c>
      <c r="G62" s="37">
        <f t="shared" si="40"/>
        <v>2550351382</v>
      </c>
      <c r="H62" s="37">
        <f t="shared" si="66"/>
        <v>1302904525</v>
      </c>
      <c r="I62" s="37">
        <f t="shared" si="66"/>
        <v>1599435502</v>
      </c>
      <c r="J62" s="37">
        <f t="shared" si="66"/>
        <v>50401294</v>
      </c>
      <c r="K62" s="30">
        <f t="shared" si="41"/>
        <v>1291858636</v>
      </c>
      <c r="L62" s="30">
        <f t="shared" si="42"/>
        <v>33619970</v>
      </c>
      <c r="M62" s="30">
        <f t="shared" si="43"/>
        <v>1325478606</v>
      </c>
      <c r="N62" s="30">
        <f t="shared" si="44"/>
        <v>543039789</v>
      </c>
      <c r="O62" s="30">
        <f t="shared" si="45"/>
        <v>306184996</v>
      </c>
      <c r="P62" s="30">
        <f t="shared" si="46"/>
        <v>140542374</v>
      </c>
      <c r="Q62" s="30">
        <f t="shared" si="47"/>
        <v>4194596</v>
      </c>
      <c r="R62" s="30">
        <f t="shared" si="48"/>
        <v>981377967</v>
      </c>
      <c r="S62" s="30">
        <f t="shared" si="49"/>
        <v>892773115</v>
      </c>
      <c r="T62" s="30">
        <f t="shared" si="50"/>
        <v>3651777815</v>
      </c>
      <c r="U62" s="30">
        <f t="shared" si="51"/>
        <v>3563021990</v>
      </c>
      <c r="V62" s="30">
        <f t="shared" si="52"/>
        <v>287350803</v>
      </c>
      <c r="W62" s="30">
        <f t="shared" si="53"/>
        <v>3969849324</v>
      </c>
      <c r="X62" s="30">
        <f t="shared" si="54"/>
        <v>3290367652</v>
      </c>
      <c r="Y62" s="30">
        <f t="shared" si="55"/>
        <v>952136010</v>
      </c>
      <c r="Z62" s="30">
        <f t="shared" si="56"/>
        <v>1289193935</v>
      </c>
      <c r="AA62" s="30">
        <f t="shared" si="57"/>
        <v>971610865</v>
      </c>
      <c r="AB62" s="30">
        <f t="shared" si="58"/>
        <v>2023552205</v>
      </c>
      <c r="AC62" s="30">
        <f t="shared" si="59"/>
        <v>146901185</v>
      </c>
      <c r="AD62" s="30">
        <f t="shared" si="60"/>
        <v>1967002430</v>
      </c>
      <c r="AE62" s="30">
        <f t="shared" si="61"/>
        <v>1880887308</v>
      </c>
      <c r="AF62" s="30">
        <f t="shared" si="62"/>
        <v>228780019</v>
      </c>
      <c r="AG62" s="37">
        <f>MOD(J61+Y62+M62+'📦 SHA-256 Constants'!C60+AN61,4294967296)</f>
        <v>47408616</v>
      </c>
      <c r="AH62" s="37">
        <f t="shared" si="63"/>
        <v>1210157986</v>
      </c>
      <c r="AI62" s="30">
        <f t="shared" si="64"/>
        <v>974714360</v>
      </c>
      <c r="AJ62" s="30">
        <f>'📦 SHA-256 Constants'!C60</f>
        <v>1955562222</v>
      </c>
      <c r="AK62" s="25" t="s">
        <v>220</v>
      </c>
      <c r="AM62" s="26">
        <v>57</v>
      </c>
      <c r="AN62" s="31">
        <f t="shared" si="29"/>
        <v>4127060666</v>
      </c>
      <c r="AO62" s="32">
        <f t="shared" si="30"/>
        <v>3300471188</v>
      </c>
      <c r="AP62" s="32">
        <f t="shared" si="31"/>
        <v>9965828</v>
      </c>
      <c r="AQ62" s="32">
        <f t="shared" si="32"/>
        <v>4256350206</v>
      </c>
      <c r="AR62" s="32">
        <f t="shared" si="33"/>
        <v>1803969712</v>
      </c>
      <c r="AS62" s="32">
        <f t="shared" si="34"/>
        <v>450992428</v>
      </c>
      <c r="AT62" s="32">
        <f t="shared" si="35"/>
        <v>176160800</v>
      </c>
      <c r="AU62" s="32">
        <f t="shared" si="36"/>
        <v>1901438377</v>
      </c>
    </row>
    <row r="63" spans="2:47" ht="13.5" customHeight="1" x14ac:dyDescent="0.25">
      <c r="B63" s="36">
        <v>58</v>
      </c>
      <c r="C63" s="37">
        <f t="shared" si="39"/>
        <v>1370523644</v>
      </c>
      <c r="D63" s="37">
        <f t="shared" si="65"/>
        <v>1257566602</v>
      </c>
      <c r="E63" s="37">
        <f t="shared" si="65"/>
        <v>861808445</v>
      </c>
      <c r="F63" s="37">
        <f t="shared" si="65"/>
        <v>2826936815</v>
      </c>
      <c r="G63" s="37">
        <f t="shared" si="40"/>
        <v>3035201285</v>
      </c>
      <c r="H63" s="37">
        <f t="shared" si="66"/>
        <v>2550351382</v>
      </c>
      <c r="I63" s="37">
        <f t="shared" si="66"/>
        <v>1302904525</v>
      </c>
      <c r="J63" s="37">
        <f t="shared" si="66"/>
        <v>1599435502</v>
      </c>
      <c r="K63" s="30">
        <f t="shared" si="41"/>
        <v>134219268</v>
      </c>
      <c r="L63" s="30">
        <f t="shared" si="42"/>
        <v>1196699880</v>
      </c>
      <c r="M63" s="30">
        <f t="shared" si="43"/>
        <v>1330919148</v>
      </c>
      <c r="N63" s="30">
        <f t="shared" si="44"/>
        <v>39067912</v>
      </c>
      <c r="O63" s="30">
        <f t="shared" si="45"/>
        <v>141861258</v>
      </c>
      <c r="P63" s="30">
        <f t="shared" si="46"/>
        <v>543039789</v>
      </c>
      <c r="Q63" s="30">
        <f t="shared" si="47"/>
        <v>5513480</v>
      </c>
      <c r="R63" s="30">
        <f t="shared" si="48"/>
        <v>712941999</v>
      </c>
      <c r="S63" s="30">
        <f t="shared" si="49"/>
        <v>1516244248</v>
      </c>
      <c r="T63" s="30">
        <f t="shared" si="50"/>
        <v>3268608104</v>
      </c>
      <c r="U63" s="30">
        <f t="shared" si="51"/>
        <v>27462476</v>
      </c>
      <c r="V63" s="30">
        <f t="shared" si="52"/>
        <v>1111490568</v>
      </c>
      <c r="W63" s="30">
        <f t="shared" si="53"/>
        <v>2561871216</v>
      </c>
      <c r="X63" s="30">
        <f t="shared" si="54"/>
        <v>10684736</v>
      </c>
      <c r="Y63" s="30">
        <f t="shared" si="55"/>
        <v>2567964220</v>
      </c>
      <c r="Z63" s="30">
        <f t="shared" si="56"/>
        <v>2461875298</v>
      </c>
      <c r="AA63" s="30">
        <f t="shared" si="57"/>
        <v>2354206631</v>
      </c>
      <c r="AB63" s="30">
        <f t="shared" si="58"/>
        <v>3552979243</v>
      </c>
      <c r="AC63" s="30">
        <f t="shared" si="59"/>
        <v>2148537378</v>
      </c>
      <c r="AD63" s="30">
        <f t="shared" si="60"/>
        <v>519007173</v>
      </c>
      <c r="AE63" s="30">
        <f t="shared" si="61"/>
        <v>314976513</v>
      </c>
      <c r="AF63" s="30">
        <f t="shared" si="62"/>
        <v>3442033390</v>
      </c>
      <c r="AG63" s="37">
        <f>MOD(J62+Y63+M63+'📦 SHA-256 Constants'!C61+AN62,4294967296)</f>
        <v>1510515551</v>
      </c>
      <c r="AH63" s="37">
        <f t="shared" si="63"/>
        <v>4154975389</v>
      </c>
      <c r="AI63" s="30">
        <f t="shared" si="64"/>
        <v>4127060666</v>
      </c>
      <c r="AJ63" s="30">
        <f>'📦 SHA-256 Constants'!C61</f>
        <v>2024104815</v>
      </c>
      <c r="AK63" s="25" t="s">
        <v>221</v>
      </c>
      <c r="AM63" s="26">
        <v>58</v>
      </c>
      <c r="AN63" s="31">
        <f t="shared" si="29"/>
        <v>3885636394</v>
      </c>
      <c r="AO63" s="32">
        <f t="shared" si="30"/>
        <v>919145496</v>
      </c>
      <c r="AP63" s="32">
        <f t="shared" si="31"/>
        <v>33556480</v>
      </c>
      <c r="AQ63" s="32">
        <f t="shared" si="32"/>
        <v>3110016186</v>
      </c>
      <c r="AR63" s="32">
        <f t="shared" si="33"/>
        <v>2063342860</v>
      </c>
      <c r="AS63" s="32">
        <f t="shared" si="34"/>
        <v>515835715</v>
      </c>
      <c r="AT63" s="32">
        <f t="shared" si="35"/>
        <v>448529664</v>
      </c>
      <c r="AU63" s="32">
        <f t="shared" si="36"/>
        <v>1682807922</v>
      </c>
    </row>
    <row r="64" spans="2:47" ht="13.5" customHeight="1" x14ac:dyDescent="0.25">
      <c r="B64" s="36">
        <v>59</v>
      </c>
      <c r="C64" s="37">
        <f t="shared" si="39"/>
        <v>1696238586</v>
      </c>
      <c r="D64" s="37">
        <f t="shared" si="65"/>
        <v>1370523644</v>
      </c>
      <c r="E64" s="37">
        <f t="shared" si="65"/>
        <v>1257566602</v>
      </c>
      <c r="F64" s="37">
        <f t="shared" si="65"/>
        <v>861808445</v>
      </c>
      <c r="G64" s="37">
        <f t="shared" si="40"/>
        <v>3490982128</v>
      </c>
      <c r="H64" s="37">
        <f t="shared" si="66"/>
        <v>3035201285</v>
      </c>
      <c r="I64" s="37">
        <f t="shared" si="66"/>
        <v>2550351382</v>
      </c>
      <c r="J64" s="37">
        <f t="shared" si="66"/>
        <v>1302904525</v>
      </c>
      <c r="K64" s="30">
        <f t="shared" si="41"/>
        <v>2416002564</v>
      </c>
      <c r="L64" s="30">
        <f t="shared" si="42"/>
        <v>1224769736</v>
      </c>
      <c r="M64" s="30">
        <f t="shared" si="43"/>
        <v>3640772300</v>
      </c>
      <c r="N64" s="30">
        <f t="shared" si="44"/>
        <v>1085309320</v>
      </c>
      <c r="O64" s="30">
        <f t="shared" si="45"/>
        <v>286263100</v>
      </c>
      <c r="P64" s="30">
        <f t="shared" si="46"/>
        <v>39067912</v>
      </c>
      <c r="Q64" s="30">
        <f t="shared" si="47"/>
        <v>1048840</v>
      </c>
      <c r="R64" s="30">
        <f t="shared" si="48"/>
        <v>1408542652</v>
      </c>
      <c r="S64" s="30">
        <f t="shared" si="49"/>
        <v>382969340</v>
      </c>
      <c r="T64" s="30">
        <f t="shared" si="50"/>
        <v>3770064175</v>
      </c>
      <c r="U64" s="30">
        <f t="shared" si="51"/>
        <v>1958707930</v>
      </c>
      <c r="V64" s="30">
        <f t="shared" si="52"/>
        <v>9602348</v>
      </c>
      <c r="W64" s="30">
        <f t="shared" si="53"/>
        <v>4133828819</v>
      </c>
      <c r="X64" s="30">
        <f t="shared" si="54"/>
        <v>1948582098</v>
      </c>
      <c r="Y64" s="30">
        <f t="shared" si="55"/>
        <v>2195372553</v>
      </c>
      <c r="Z64" s="30">
        <f t="shared" si="56"/>
        <v>342630911</v>
      </c>
      <c r="AA64" s="30">
        <f t="shared" si="57"/>
        <v>1071811972</v>
      </c>
      <c r="AB64" s="30">
        <f t="shared" si="58"/>
        <v>3256873286</v>
      </c>
      <c r="AC64" s="30">
        <f t="shared" si="59"/>
        <v>341836164</v>
      </c>
      <c r="AD64" s="30">
        <f t="shared" si="60"/>
        <v>730770555</v>
      </c>
      <c r="AE64" s="30">
        <f t="shared" si="61"/>
        <v>34512962</v>
      </c>
      <c r="AF64" s="30">
        <f t="shared" si="62"/>
        <v>3918617917</v>
      </c>
      <c r="AG64" s="37">
        <f>MOD(J63+Y64+M64+'📦 SHA-256 Constants'!C62+AN63,4294967296)</f>
        <v>664045313</v>
      </c>
      <c r="AH64" s="37">
        <f t="shared" si="63"/>
        <v>1032193273</v>
      </c>
      <c r="AI64" s="30">
        <f t="shared" si="64"/>
        <v>3885636394</v>
      </c>
      <c r="AJ64" s="30">
        <f>'📦 SHA-256 Constants'!C62</f>
        <v>2227730452</v>
      </c>
      <c r="AK64" s="25" t="s">
        <v>222</v>
      </c>
      <c r="AM64" s="26">
        <v>59</v>
      </c>
      <c r="AN64" s="31">
        <f t="shared" si="29"/>
        <v>1575633733</v>
      </c>
      <c r="AO64" s="32">
        <f t="shared" si="30"/>
        <v>4009611150</v>
      </c>
      <c r="AP64" s="32">
        <f t="shared" si="31"/>
        <v>3772632968</v>
      </c>
      <c r="AQ64" s="32">
        <f t="shared" si="32"/>
        <v>285010137</v>
      </c>
      <c r="AR64" s="32">
        <f t="shared" si="33"/>
        <v>4183653118</v>
      </c>
      <c r="AS64" s="32">
        <f t="shared" si="34"/>
        <v>3193396927</v>
      </c>
      <c r="AT64" s="32">
        <f t="shared" si="35"/>
        <v>3092601534</v>
      </c>
      <c r="AU64" s="32">
        <f t="shared" si="36"/>
        <v>1194810173</v>
      </c>
    </row>
    <row r="65" spans="2:47" ht="13.5" customHeight="1" x14ac:dyDescent="0.25">
      <c r="B65" s="36">
        <v>60</v>
      </c>
      <c r="C65" s="37">
        <f t="shared" si="39"/>
        <v>2518058022</v>
      </c>
      <c r="D65" s="37">
        <f t="shared" si="65"/>
        <v>1696238586</v>
      </c>
      <c r="E65" s="37">
        <f t="shared" si="65"/>
        <v>1370523644</v>
      </c>
      <c r="F65" s="37">
        <f t="shared" si="65"/>
        <v>1257566602</v>
      </c>
      <c r="G65" s="37">
        <f t="shared" si="40"/>
        <v>3674850219</v>
      </c>
      <c r="H65" s="37">
        <f t="shared" si="66"/>
        <v>3490982128</v>
      </c>
      <c r="I65" s="37">
        <f t="shared" si="66"/>
        <v>3035201285</v>
      </c>
      <c r="J65" s="37">
        <f t="shared" si="66"/>
        <v>2550351382</v>
      </c>
      <c r="K65" s="30">
        <f t="shared" si="41"/>
        <v>2415929344</v>
      </c>
      <c r="L65" s="30">
        <f t="shared" si="42"/>
        <v>134432262</v>
      </c>
      <c r="M65" s="30">
        <f t="shared" si="43"/>
        <v>2550361606</v>
      </c>
      <c r="N65" s="30">
        <f t="shared" si="44"/>
        <v>1091601400</v>
      </c>
      <c r="O65" s="30">
        <f t="shared" si="45"/>
        <v>1074823562</v>
      </c>
      <c r="P65" s="30">
        <f t="shared" si="46"/>
        <v>1085309320</v>
      </c>
      <c r="Q65" s="30">
        <f t="shared" si="47"/>
        <v>1074823560</v>
      </c>
      <c r="R65" s="30">
        <f t="shared" si="48"/>
        <v>1102087162</v>
      </c>
      <c r="S65" s="30">
        <f t="shared" si="49"/>
        <v>3275772067</v>
      </c>
      <c r="T65" s="30">
        <f t="shared" si="50"/>
        <v>505021061</v>
      </c>
      <c r="U65" s="30">
        <f t="shared" si="51"/>
        <v>169113704</v>
      </c>
      <c r="V65" s="30">
        <f t="shared" si="52"/>
        <v>33554561</v>
      </c>
      <c r="W65" s="30">
        <f t="shared" si="53"/>
        <v>3713684006</v>
      </c>
      <c r="X65" s="30">
        <f t="shared" si="54"/>
        <v>135286816</v>
      </c>
      <c r="Y65" s="30">
        <f t="shared" si="55"/>
        <v>3612224078</v>
      </c>
      <c r="Z65" s="30">
        <f t="shared" si="56"/>
        <v>2571543294</v>
      </c>
      <c r="AA65" s="30">
        <f t="shared" si="57"/>
        <v>1607674068</v>
      </c>
      <c r="AB65" s="30">
        <f t="shared" si="58"/>
        <v>1781524884</v>
      </c>
      <c r="AC65" s="30">
        <f t="shared" si="59"/>
        <v>423764180</v>
      </c>
      <c r="AD65" s="30">
        <f t="shared" si="60"/>
        <v>3331689002</v>
      </c>
      <c r="AE65" s="30">
        <f t="shared" si="61"/>
        <v>1107658752</v>
      </c>
      <c r="AF65" s="30">
        <f t="shared" si="62"/>
        <v>2897896382</v>
      </c>
      <c r="AG65" s="37">
        <f>MOD(J64+Y65+M65+'📦 SHA-256 Constants'!C63+AN64,4294967296)</f>
        <v>2813041774</v>
      </c>
      <c r="AH65" s="37">
        <f t="shared" si="63"/>
        <v>3999983544</v>
      </c>
      <c r="AI65" s="30">
        <f t="shared" si="64"/>
        <v>1575633733</v>
      </c>
      <c r="AJ65" s="30">
        <f>'📦 SHA-256 Constants'!C63</f>
        <v>2361852424</v>
      </c>
      <c r="AK65" s="25" t="s">
        <v>223</v>
      </c>
      <c r="AM65" s="26">
        <v>60</v>
      </c>
      <c r="AN65" s="31">
        <f t="shared" si="29"/>
        <v>1880933106</v>
      </c>
      <c r="AO65" s="32">
        <f t="shared" si="30"/>
        <v>3828189872</v>
      </c>
      <c r="AP65" s="32">
        <f t="shared" si="31"/>
        <v>1141670064</v>
      </c>
      <c r="AQ65" s="32">
        <f t="shared" si="32"/>
        <v>2968101903</v>
      </c>
      <c r="AR65" s="32">
        <f t="shared" si="33"/>
        <v>227898317</v>
      </c>
      <c r="AS65" s="32">
        <f t="shared" si="34"/>
        <v>1130716403</v>
      </c>
      <c r="AT65" s="32">
        <f t="shared" si="35"/>
        <v>17125569</v>
      </c>
      <c r="AU65" s="32">
        <f t="shared" si="36"/>
        <v>1321847224</v>
      </c>
    </row>
    <row r="66" spans="2:47" ht="13.5" customHeight="1" x14ac:dyDescent="0.25">
      <c r="B66" s="36">
        <v>61</v>
      </c>
      <c r="C66" s="37">
        <f t="shared" si="39"/>
        <v>543812964</v>
      </c>
      <c r="D66" s="37">
        <f t="shared" si="65"/>
        <v>2518058022</v>
      </c>
      <c r="E66" s="37">
        <f t="shared" si="65"/>
        <v>1696238586</v>
      </c>
      <c r="F66" s="37">
        <f t="shared" si="65"/>
        <v>1370523644</v>
      </c>
      <c r="G66" s="37">
        <f t="shared" si="40"/>
        <v>933939979</v>
      </c>
      <c r="H66" s="37">
        <f t="shared" si="66"/>
        <v>3674850219</v>
      </c>
      <c r="I66" s="37">
        <f t="shared" si="66"/>
        <v>3490982128</v>
      </c>
      <c r="J66" s="37">
        <f t="shared" si="66"/>
        <v>3035201285</v>
      </c>
      <c r="K66" s="30">
        <f t="shared" si="41"/>
        <v>3489661088</v>
      </c>
      <c r="L66" s="30">
        <f t="shared" si="42"/>
        <v>618675204</v>
      </c>
      <c r="M66" s="30">
        <f t="shared" si="43"/>
        <v>4108336292</v>
      </c>
      <c r="N66" s="30">
        <f t="shared" si="44"/>
        <v>68321314</v>
      </c>
      <c r="O66" s="30">
        <f t="shared" si="45"/>
        <v>269517860</v>
      </c>
      <c r="P66" s="30">
        <f t="shared" si="46"/>
        <v>1091601400</v>
      </c>
      <c r="Q66" s="30">
        <f t="shared" si="47"/>
        <v>1081376</v>
      </c>
      <c r="R66" s="30">
        <f t="shared" si="48"/>
        <v>1427277822</v>
      </c>
      <c r="S66" s="30">
        <f t="shared" si="49"/>
        <v>2943100686</v>
      </c>
      <c r="T66" s="30">
        <f t="shared" si="50"/>
        <v>1971020088</v>
      </c>
      <c r="U66" s="30">
        <f t="shared" si="51"/>
        <v>2229392877</v>
      </c>
      <c r="V66" s="30">
        <f t="shared" si="52"/>
        <v>627581192</v>
      </c>
      <c r="W66" s="30">
        <f t="shared" si="53"/>
        <v>3658958390</v>
      </c>
      <c r="X66" s="30">
        <f t="shared" si="54"/>
        <v>2147566628</v>
      </c>
      <c r="Y66" s="30">
        <f t="shared" si="55"/>
        <v>1593218011</v>
      </c>
      <c r="Z66" s="30">
        <f t="shared" si="56"/>
        <v>2776998153</v>
      </c>
      <c r="AA66" s="30">
        <f t="shared" si="57"/>
        <v>557101236</v>
      </c>
      <c r="AB66" s="30">
        <f t="shared" si="58"/>
        <v>1511037528</v>
      </c>
      <c r="AC66" s="30">
        <f t="shared" si="59"/>
        <v>553951232</v>
      </c>
      <c r="AD66" s="30">
        <f t="shared" si="60"/>
        <v>2226196925</v>
      </c>
      <c r="AE66" s="30">
        <f t="shared" si="61"/>
        <v>1052696</v>
      </c>
      <c r="AF66" s="30">
        <f t="shared" si="62"/>
        <v>3735129061</v>
      </c>
      <c r="AG66" s="37">
        <f>MOD(J65+Y66+M66+'📦 SHA-256 Constants'!C64+AN65,4294967296)</f>
        <v>3971340673</v>
      </c>
      <c r="AH66" s="37">
        <f t="shared" si="63"/>
        <v>867439587</v>
      </c>
      <c r="AI66" s="30">
        <f t="shared" si="64"/>
        <v>1880933106</v>
      </c>
      <c r="AJ66" s="30">
        <f>'📦 SHA-256 Constants'!C64</f>
        <v>2428436474</v>
      </c>
      <c r="AK66" s="25" t="s">
        <v>224</v>
      </c>
      <c r="AM66" s="26">
        <v>61</v>
      </c>
      <c r="AN66" s="31">
        <f t="shared" si="29"/>
        <v>1016800738</v>
      </c>
      <c r="AO66" s="32">
        <f t="shared" si="30"/>
        <v>1392110842</v>
      </c>
      <c r="AP66" s="32">
        <f t="shared" si="31"/>
        <v>306727992</v>
      </c>
      <c r="AQ66" s="32">
        <f t="shared" si="32"/>
        <v>3257760866</v>
      </c>
      <c r="AR66" s="32">
        <f t="shared" si="33"/>
        <v>564309749</v>
      </c>
      <c r="AS66" s="32">
        <f t="shared" si="34"/>
        <v>1214819261</v>
      </c>
      <c r="AT66" s="32">
        <f t="shared" si="35"/>
        <v>2140853</v>
      </c>
      <c r="AU66" s="32">
        <f t="shared" si="36"/>
        <v>1776123864</v>
      </c>
    </row>
    <row r="67" spans="2:47" ht="13.5" customHeight="1" x14ac:dyDescent="0.25">
      <c r="B67" s="36">
        <v>62</v>
      </c>
      <c r="C67" s="37">
        <f t="shared" si="39"/>
        <v>3933816760</v>
      </c>
      <c r="D67" s="37">
        <f t="shared" si="65"/>
        <v>543812964</v>
      </c>
      <c r="E67" s="37">
        <f t="shared" si="65"/>
        <v>2518058022</v>
      </c>
      <c r="F67" s="37">
        <f t="shared" si="65"/>
        <v>1696238586</v>
      </c>
      <c r="G67" s="37">
        <f t="shared" si="40"/>
        <v>1400920503</v>
      </c>
      <c r="H67" s="37">
        <f t="shared" si="66"/>
        <v>933939979</v>
      </c>
      <c r="I67" s="37">
        <f t="shared" si="66"/>
        <v>3674850219</v>
      </c>
      <c r="J67" s="37">
        <f t="shared" si="66"/>
        <v>3490982128</v>
      </c>
      <c r="K67" s="30">
        <f t="shared" si="41"/>
        <v>319341323</v>
      </c>
      <c r="L67" s="30">
        <f t="shared" si="42"/>
        <v>3222544624</v>
      </c>
      <c r="M67" s="30">
        <f t="shared" si="43"/>
        <v>3541885947</v>
      </c>
      <c r="N67" s="30">
        <f t="shared" si="44"/>
        <v>33828</v>
      </c>
      <c r="O67" s="30">
        <f t="shared" si="45"/>
        <v>537430368</v>
      </c>
      <c r="P67" s="30">
        <f t="shared" si="46"/>
        <v>68321314</v>
      </c>
      <c r="Q67" s="30">
        <f t="shared" si="47"/>
        <v>32800</v>
      </c>
      <c r="R67" s="30">
        <f t="shared" si="48"/>
        <v>605719910</v>
      </c>
      <c r="S67" s="30">
        <f t="shared" si="49"/>
        <v>752790316</v>
      </c>
      <c r="T67" s="30">
        <f t="shared" si="50"/>
        <v>1634137433</v>
      </c>
      <c r="U67" s="30">
        <f t="shared" si="51"/>
        <v>3580200347</v>
      </c>
      <c r="V67" s="30">
        <f t="shared" si="52"/>
        <v>541499656</v>
      </c>
      <c r="W67" s="30">
        <f t="shared" si="53"/>
        <v>1303928437</v>
      </c>
      <c r="X67" s="30">
        <f t="shared" si="54"/>
        <v>1159726097</v>
      </c>
      <c r="Y67" s="30">
        <f t="shared" si="55"/>
        <v>2564676590</v>
      </c>
      <c r="Z67" s="30">
        <f t="shared" si="56"/>
        <v>135953241</v>
      </c>
      <c r="AA67" s="30">
        <f t="shared" si="57"/>
        <v>1797325647</v>
      </c>
      <c r="AB67" s="30">
        <f t="shared" si="58"/>
        <v>2813694081</v>
      </c>
      <c r="AC67" s="30">
        <f t="shared" si="59"/>
        <v>134218569</v>
      </c>
      <c r="AD67" s="30">
        <f t="shared" si="60"/>
        <v>1664841750</v>
      </c>
      <c r="AE67" s="30">
        <f t="shared" si="61"/>
        <v>590417920</v>
      </c>
      <c r="AF67" s="30">
        <f t="shared" si="62"/>
        <v>3297699991</v>
      </c>
      <c r="AG67" s="37">
        <f>MOD(J66+Y67+M67+'📦 SHA-256 Constants'!C65+AN66,4294967296)</f>
        <v>30396859</v>
      </c>
      <c r="AH67" s="37">
        <f t="shared" si="63"/>
        <v>3903419901</v>
      </c>
      <c r="AI67" s="30">
        <f t="shared" si="64"/>
        <v>1016800738</v>
      </c>
      <c r="AJ67" s="30">
        <f>'📦 SHA-256 Constants'!C65</f>
        <v>2756734187</v>
      </c>
      <c r="AK67" s="25" t="s">
        <v>225</v>
      </c>
      <c r="AM67" s="26">
        <v>62</v>
      </c>
      <c r="AN67" s="31">
        <f t="shared" si="29"/>
        <v>3378973474</v>
      </c>
      <c r="AO67" s="32">
        <f t="shared" si="30"/>
        <v>1888530306</v>
      </c>
      <c r="AP67" s="32">
        <f t="shared" si="31"/>
        <v>1879048704</v>
      </c>
      <c r="AQ67" s="32">
        <f t="shared" si="32"/>
        <v>2312390064</v>
      </c>
      <c r="AR67" s="32">
        <f t="shared" si="33"/>
        <v>1635334158</v>
      </c>
      <c r="AS67" s="32">
        <f t="shared" si="34"/>
        <v>2556317187</v>
      </c>
      <c r="AT67" s="32">
        <f t="shared" si="35"/>
        <v>5769218</v>
      </c>
      <c r="AU67" s="32">
        <f t="shared" si="36"/>
        <v>4181422397</v>
      </c>
    </row>
    <row r="68" spans="2:47" ht="13.5" customHeight="1" x14ac:dyDescent="0.25">
      <c r="B68" s="36">
        <v>63</v>
      </c>
      <c r="C68" s="37">
        <f t="shared" si="39"/>
        <v>2756244617</v>
      </c>
      <c r="D68" s="37">
        <f t="shared" si="65"/>
        <v>3933816760</v>
      </c>
      <c r="E68" s="37">
        <f t="shared" si="65"/>
        <v>543812964</v>
      </c>
      <c r="F68" s="37">
        <f t="shared" si="65"/>
        <v>2518058022</v>
      </c>
      <c r="G68" s="37">
        <f t="shared" si="40"/>
        <v>2225199570</v>
      </c>
      <c r="H68" s="37">
        <f t="shared" si="66"/>
        <v>1400920503</v>
      </c>
      <c r="I68" s="37">
        <f t="shared" si="66"/>
        <v>933939979</v>
      </c>
      <c r="J68" s="37">
        <f t="shared" si="66"/>
        <v>3674850219</v>
      </c>
      <c r="K68" s="30">
        <f t="shared" si="41"/>
        <v>327174403</v>
      </c>
      <c r="L68" s="30">
        <f t="shared" si="42"/>
        <v>2282324488</v>
      </c>
      <c r="M68" s="30">
        <f t="shared" si="43"/>
        <v>2609498891</v>
      </c>
      <c r="N68" s="30">
        <f t="shared" si="44"/>
        <v>543769888</v>
      </c>
      <c r="O68" s="30">
        <f t="shared" si="45"/>
        <v>2182087712</v>
      </c>
      <c r="P68" s="30">
        <f t="shared" si="46"/>
        <v>33828</v>
      </c>
      <c r="Q68" s="30">
        <f t="shared" si="47"/>
        <v>1056</v>
      </c>
      <c r="R68" s="30">
        <f t="shared" si="48"/>
        <v>2725889316</v>
      </c>
      <c r="S68" s="30">
        <f t="shared" si="49"/>
        <v>3712876902</v>
      </c>
      <c r="T68" s="30">
        <f t="shared" si="50"/>
        <v>921333771</v>
      </c>
      <c r="U68" s="30">
        <f t="shared" si="51"/>
        <v>3224165289</v>
      </c>
      <c r="V68" s="30">
        <f t="shared" si="52"/>
        <v>340393986</v>
      </c>
      <c r="W68" s="30">
        <f t="shared" si="53"/>
        <v>3953422701</v>
      </c>
      <c r="X68" s="30">
        <f t="shared" si="54"/>
        <v>3223605545</v>
      </c>
      <c r="Y68" s="30">
        <f t="shared" si="55"/>
        <v>730376900</v>
      </c>
      <c r="Z68" s="30">
        <f t="shared" si="56"/>
        <v>983454190</v>
      </c>
      <c r="AA68" s="30">
        <f t="shared" si="57"/>
        <v>1036473290</v>
      </c>
      <c r="AB68" s="30">
        <f t="shared" si="58"/>
        <v>3844006825</v>
      </c>
      <c r="AC68" s="30">
        <f t="shared" si="59"/>
        <v>948326858</v>
      </c>
      <c r="AD68" s="30">
        <f t="shared" si="60"/>
        <v>123273764</v>
      </c>
      <c r="AE68" s="30">
        <f t="shared" si="61"/>
        <v>85459488</v>
      </c>
      <c r="AF68" s="30">
        <f t="shared" si="62"/>
        <v>3796361613</v>
      </c>
      <c r="AG68" s="37">
        <f>MOD(J67+Y68+M68+'📦 SHA-256 Constants'!C66+AN67,4294967296)</f>
        <v>528960984</v>
      </c>
      <c r="AH68" s="37">
        <f t="shared" si="63"/>
        <v>2227283633</v>
      </c>
      <c r="AI68" s="30">
        <f t="shared" si="64"/>
        <v>3378973474</v>
      </c>
      <c r="AJ68" s="30">
        <f>'📦 SHA-256 Constants'!C66</f>
        <v>3204031479</v>
      </c>
      <c r="AK68" s="25" t="s">
        <v>226</v>
      </c>
      <c r="AM68" s="26">
        <v>63</v>
      </c>
      <c r="AN68" s="31">
        <f t="shared" si="29"/>
        <v>1044165985</v>
      </c>
      <c r="AO68" s="32">
        <f t="shared" si="30"/>
        <v>54984341</v>
      </c>
      <c r="AP68" s="32">
        <f t="shared" si="31"/>
        <v>33581205</v>
      </c>
      <c r="AQ68" s="32">
        <f t="shared" si="32"/>
        <v>3314122522</v>
      </c>
      <c r="AR68" s="32">
        <f t="shared" si="33"/>
        <v>2465275469</v>
      </c>
      <c r="AS68" s="32">
        <f t="shared" si="34"/>
        <v>1690060691</v>
      </c>
      <c r="AT68" s="32">
        <f t="shared" si="35"/>
        <v>11535873</v>
      </c>
      <c r="AU68" s="32">
        <f t="shared" si="36"/>
        <v>4131553047</v>
      </c>
    </row>
    <row r="69" spans="2:47" ht="13.5" customHeight="1" x14ac:dyDescent="0.25">
      <c r="B69" s="36">
        <v>64</v>
      </c>
      <c r="C69" s="37">
        <f t="shared" si="39"/>
        <v>3270010707</v>
      </c>
      <c r="D69" s="37">
        <f t="shared" si="65"/>
        <v>2756244617</v>
      </c>
      <c r="E69" s="37">
        <f t="shared" si="65"/>
        <v>3933816760</v>
      </c>
      <c r="F69" s="37">
        <f t="shared" si="65"/>
        <v>543812964</v>
      </c>
      <c r="G69" s="37">
        <f t="shared" si="40"/>
        <v>3389508573</v>
      </c>
      <c r="H69" s="37">
        <f t="shared" si="66"/>
        <v>2225199570</v>
      </c>
      <c r="I69" s="37">
        <f t="shared" si="66"/>
        <v>1400920503</v>
      </c>
      <c r="J69" s="37">
        <f t="shared" si="66"/>
        <v>933939979</v>
      </c>
      <c r="K69" s="30">
        <f t="shared" si="41"/>
        <v>8411538</v>
      </c>
      <c r="L69" s="30">
        <f t="shared" si="42"/>
        <v>856293897</v>
      </c>
      <c r="M69" s="30">
        <f t="shared" si="43"/>
        <v>864705435</v>
      </c>
      <c r="N69" s="30">
        <f t="shared" si="44"/>
        <v>2689090696</v>
      </c>
      <c r="O69" s="30">
        <f t="shared" si="45"/>
        <v>541647872</v>
      </c>
      <c r="P69" s="30">
        <f t="shared" si="46"/>
        <v>543769888</v>
      </c>
      <c r="Q69" s="30">
        <f t="shared" si="47"/>
        <v>541606912</v>
      </c>
      <c r="R69" s="30">
        <f t="shared" si="48"/>
        <v>2691294632</v>
      </c>
      <c r="S69" s="30">
        <f t="shared" si="49"/>
        <v>1242728295</v>
      </c>
      <c r="T69" s="30">
        <f t="shared" si="50"/>
        <v>978359355</v>
      </c>
      <c r="U69" s="30">
        <f t="shared" si="51"/>
        <v>1357703490</v>
      </c>
      <c r="V69" s="30">
        <f t="shared" si="52"/>
        <v>168854563</v>
      </c>
      <c r="W69" s="30">
        <f t="shared" si="53"/>
        <v>1883378524</v>
      </c>
      <c r="X69" s="30">
        <f t="shared" si="54"/>
        <v>1346371904</v>
      </c>
      <c r="Y69" s="30">
        <f t="shared" si="55"/>
        <v>548338206</v>
      </c>
      <c r="Z69" s="30">
        <f t="shared" si="56"/>
        <v>1762802978</v>
      </c>
      <c r="AA69" s="30">
        <f t="shared" si="57"/>
        <v>2756518471</v>
      </c>
      <c r="AB69" s="30">
        <f t="shared" si="58"/>
        <v>600974993</v>
      </c>
      <c r="AC69" s="30">
        <f t="shared" si="59"/>
        <v>536879106</v>
      </c>
      <c r="AD69" s="30">
        <f t="shared" si="60"/>
        <v>3445563237</v>
      </c>
      <c r="AE69" s="30">
        <f t="shared" si="61"/>
        <v>22152705</v>
      </c>
      <c r="AF69" s="30">
        <f t="shared" si="62"/>
        <v>4002232820</v>
      </c>
      <c r="AG69" s="37">
        <f>MOD(J68+Y69+M69+'📦 SHA-256 Constants'!C67+AN68,4294967296)</f>
        <v>871450551</v>
      </c>
      <c r="AH69" s="37">
        <f t="shared" si="63"/>
        <v>2398560156</v>
      </c>
      <c r="AI69" s="30">
        <f t="shared" si="64"/>
        <v>1044165985</v>
      </c>
      <c r="AJ69" s="30">
        <f>'📦 SHA-256 Constants'!C67</f>
        <v>3329325298</v>
      </c>
      <c r="AK69" s="25" t="s">
        <v>227</v>
      </c>
    </row>
    <row r="70" spans="2:47" ht="18" customHeight="1" x14ac:dyDescent="0.25">
      <c r="B70" s="38" t="s">
        <v>228</v>
      </c>
      <c r="C70" s="20">
        <f>MOD(C69+1779033703,4294967296)</f>
        <v>754077114</v>
      </c>
      <c r="D70" s="20">
        <f>MOD(D69+3144134277,4294967296)</f>
        <v>1605411598</v>
      </c>
      <c r="E70" s="20">
        <f>MOD(E69+1013904242,4294967296)</f>
        <v>652753706</v>
      </c>
      <c r="F70" s="20">
        <f>MOD(F69+2773480762,4294967296)</f>
        <v>3317293726</v>
      </c>
      <c r="G70" s="20">
        <f>MOD(G69+1359893119,4294967296)</f>
        <v>454434396</v>
      </c>
      <c r="H70" s="20">
        <f>MOD(H69+2600822924,4294967296)</f>
        <v>531055198</v>
      </c>
      <c r="I70" s="20">
        <f>MOD(I69+528734635,4294967296)</f>
        <v>1929655138</v>
      </c>
      <c r="J70" s="20">
        <f>MOD(J69+1541459225,4294967296)</f>
        <v>2475399204</v>
      </c>
      <c r="K70" s="42" t="s">
        <v>229</v>
      </c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</sheetData>
  <mergeCells count="6">
    <mergeCell ref="K70:AK70"/>
    <mergeCell ref="B1:AK1"/>
    <mergeCell ref="AM1:AR1"/>
    <mergeCell ref="B2:D2"/>
    <mergeCell ref="E2:AK2"/>
    <mergeCell ref="B3:A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🔐 SHA-256</vt:lpstr>
      <vt:lpstr>📖 How SHA-256 Works</vt:lpstr>
      <vt:lpstr>🔤 ASCII Encoding</vt:lpstr>
      <vt:lpstr>📦 SHA-256 Constants</vt:lpstr>
      <vt:lpstr>⚙️ Computation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2026-05-15T11:32:48Z</dcterms:created>
  <dcterms:modified xsi:type="dcterms:W3CDTF">2026-05-26T03:51:29Z</dcterms:modified>
  <dc:language>en-US</dc:language>
</cp:coreProperties>
</file>