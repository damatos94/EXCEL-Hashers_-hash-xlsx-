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vrilovFD\Downloads\Telegram Desktop\"/>
    </mc:Choice>
  </mc:AlternateContent>
  <bookViews>
    <workbookView xWindow="0" yWindow="0" windowWidth="28800" windowHeight="11940" tabRatio="500"/>
  </bookViews>
  <sheets>
    <sheet name="🔐 SHA-1" sheetId="1" r:id="rId1"/>
    <sheet name="📖 How SHA-1 Works" sheetId="2" r:id="rId2"/>
    <sheet name="📦 SHA-1 Constants" sheetId="3" r:id="rId3"/>
    <sheet name="⚙️ Computation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F215" i="4" l="1"/>
  <c r="BG218" i="4" s="1"/>
  <c r="BF214" i="4"/>
  <c r="BG217" i="4" s="1"/>
  <c r="BH217" i="4" s="1"/>
  <c r="BF217" i="4" s="1"/>
  <c r="BG220" i="4" s="1"/>
  <c r="BH220" i="4" s="1"/>
  <c r="BF220" i="4" s="1"/>
  <c r="BG223" i="4" s="1"/>
  <c r="BH223" i="4" s="1"/>
  <c r="BF223" i="4" s="1"/>
  <c r="BF213" i="4"/>
  <c r="BG216" i="4" s="1"/>
  <c r="BH216" i="4" s="1"/>
  <c r="BF212" i="4"/>
  <c r="BF211" i="4"/>
  <c r="BF210" i="4"/>
  <c r="BF209" i="4"/>
  <c r="BF208" i="4"/>
  <c r="BF207" i="4"/>
  <c r="BF206" i="4"/>
  <c r="BF205" i="4"/>
  <c r="BF204" i="4"/>
  <c r="BF203" i="4"/>
  <c r="BF202" i="4"/>
  <c r="BF201" i="4"/>
  <c r="BF200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P7" i="4"/>
  <c r="E7" i="4" s="1"/>
  <c r="F8" i="4" s="1"/>
  <c r="G9" i="4" s="1"/>
  <c r="K7" i="4"/>
  <c r="G7" i="4"/>
  <c r="P6" i="4"/>
  <c r="K6" i="4"/>
  <c r="J6" i="4"/>
  <c r="I6" i="4"/>
  <c r="L6" i="4" s="1"/>
  <c r="H6" i="4"/>
  <c r="G6" i="4"/>
  <c r="F6" i="4"/>
  <c r="E6" i="4"/>
  <c r="D6" i="4"/>
  <c r="J7" i="4" s="1"/>
  <c r="BF216" i="4" l="1"/>
  <c r="BG219" i="4" s="1"/>
  <c r="BH219" i="4" s="1"/>
  <c r="BF219" i="4" s="1"/>
  <c r="BG222" i="4" s="1"/>
  <c r="BH222" i="4" s="1"/>
  <c r="BF222" i="4" s="1"/>
  <c r="BG225" i="4" s="1"/>
  <c r="BH225" i="4" s="1"/>
  <c r="BF225" i="4" s="1"/>
  <c r="BG228" i="4" s="1"/>
  <c r="BH228" i="4" s="1"/>
  <c r="BF228" i="4" s="1"/>
  <c r="BG231" i="4" s="1"/>
  <c r="BH231" i="4" s="1"/>
  <c r="BF231" i="4" s="1"/>
  <c r="F7" i="4"/>
  <c r="G8" i="4" s="1"/>
  <c r="I7" i="4"/>
  <c r="L7" i="4" s="1"/>
  <c r="C6" i="4"/>
  <c r="BH218" i="4"/>
  <c r="BF218" i="4" s="1"/>
  <c r="BG221" i="4" s="1"/>
  <c r="BH221" i="4" s="1"/>
  <c r="BF221" i="4" s="1"/>
  <c r="BG224" i="4" s="1"/>
  <c r="BH224" i="4" s="1"/>
  <c r="BF224" i="4" s="1"/>
  <c r="BG227" i="4" s="1"/>
  <c r="BH227" i="4" s="1"/>
  <c r="BF227" i="4" s="1"/>
  <c r="BG230" i="4" s="1"/>
  <c r="BH230" i="4" s="1"/>
  <c r="BF230" i="4" s="1"/>
  <c r="BG233" i="4" l="1"/>
  <c r="BH233" i="4" s="1"/>
  <c r="BF233" i="4" s="1"/>
  <c r="BG236" i="4" s="1"/>
  <c r="BH236" i="4" s="1"/>
  <c r="BF236" i="4" s="1"/>
  <c r="BG239" i="4" s="1"/>
  <c r="BH239" i="4" s="1"/>
  <c r="BF239" i="4" s="1"/>
  <c r="BG226" i="4"/>
  <c r="BH226" i="4" s="1"/>
  <c r="BF226" i="4" s="1"/>
  <c r="H7" i="4"/>
  <c r="C7" i="4" s="1"/>
  <c r="D7" i="4"/>
  <c r="P8" i="4" l="1"/>
  <c r="E8" i="4" s="1"/>
  <c r="F9" i="4" s="1"/>
  <c r="G10" i="4" s="1"/>
  <c r="I8" i="4"/>
  <c r="J8" i="4"/>
  <c r="H8" i="4"/>
  <c r="D8" i="4"/>
  <c r="BG229" i="4"/>
  <c r="BH229" i="4" s="1"/>
  <c r="BF229" i="4" s="1"/>
  <c r="BG232" i="4" s="1"/>
  <c r="BH232" i="4" s="1"/>
  <c r="BF232" i="4" s="1"/>
  <c r="BG235" i="4" s="1"/>
  <c r="BH235" i="4" s="1"/>
  <c r="BF235" i="4" s="1"/>
  <c r="BG238" i="4" s="1"/>
  <c r="BH238" i="4" s="1"/>
  <c r="BF238" i="4" s="1"/>
  <c r="BG241" i="4" s="1"/>
  <c r="BH241" i="4" s="1"/>
  <c r="BF241" i="4" s="1"/>
  <c r="BG244" i="4" s="1"/>
  <c r="BH244" i="4" s="1"/>
  <c r="BF244" i="4" s="1"/>
  <c r="BG247" i="4" s="1"/>
  <c r="BH247" i="4" s="1"/>
  <c r="BF247" i="4" s="1"/>
  <c r="BG234" i="4"/>
  <c r="BH234" i="4" s="1"/>
  <c r="BF234" i="4" s="1"/>
  <c r="BG237" i="4" l="1"/>
  <c r="BH237" i="4" s="1"/>
  <c r="BF237" i="4" s="1"/>
  <c r="BG240" i="4" s="1"/>
  <c r="BH240" i="4" s="1"/>
  <c r="BF240" i="4" s="1"/>
  <c r="BG243" i="4" s="1"/>
  <c r="BH243" i="4" s="1"/>
  <c r="BF243" i="4" s="1"/>
  <c r="BG246" i="4" s="1"/>
  <c r="BH246" i="4" s="1"/>
  <c r="BF246" i="4" s="1"/>
  <c r="BG249" i="4" s="1"/>
  <c r="BH249" i="4" s="1"/>
  <c r="BF249" i="4" s="1"/>
  <c r="BG252" i="4" s="1"/>
  <c r="BH252" i="4" s="1"/>
  <c r="BF252" i="4" s="1"/>
  <c r="BG255" i="4" s="1"/>
  <c r="BH255" i="4" s="1"/>
  <c r="BF255" i="4" s="1"/>
  <c r="BG242" i="4"/>
  <c r="BH242" i="4" s="1"/>
  <c r="BF242" i="4" s="1"/>
  <c r="L8" i="4"/>
  <c r="C8" i="4" s="1"/>
  <c r="J9" i="4"/>
  <c r="P9" i="4"/>
  <c r="E9" i="4" s="1"/>
  <c r="F10" i="4" s="1"/>
  <c r="G11" i="4" s="1"/>
  <c r="I9" i="4"/>
  <c r="L9" i="4" s="1"/>
  <c r="BG245" i="4" l="1"/>
  <c r="BH245" i="4" s="1"/>
  <c r="BF245" i="4" s="1"/>
  <c r="BG248" i="4" s="1"/>
  <c r="BH248" i="4" s="1"/>
  <c r="BF248" i="4" s="1"/>
  <c r="BG251" i="4" s="1"/>
  <c r="BH251" i="4" s="1"/>
  <c r="BF251" i="4" s="1"/>
  <c r="BG254" i="4" s="1"/>
  <c r="BH254" i="4" s="1"/>
  <c r="BF254" i="4" s="1"/>
  <c r="BG257" i="4" s="1"/>
  <c r="BH257" i="4" s="1"/>
  <c r="BF257" i="4" s="1"/>
  <c r="BG260" i="4" s="1"/>
  <c r="BH260" i="4" s="1"/>
  <c r="BF260" i="4" s="1"/>
  <c r="BG263" i="4" s="1"/>
  <c r="BH263" i="4" s="1"/>
  <c r="BF263" i="4" s="1"/>
  <c r="H9" i="4"/>
  <c r="C9" i="4" s="1"/>
  <c r="D9" i="4"/>
  <c r="BG250" i="4"/>
  <c r="BH250" i="4" s="1"/>
  <c r="BF250" i="4" s="1"/>
  <c r="BG253" i="4" l="1"/>
  <c r="BH253" i="4" s="1"/>
  <c r="BF253" i="4" s="1"/>
  <c r="BG256" i="4" s="1"/>
  <c r="BH256" i="4" s="1"/>
  <c r="BF256" i="4" s="1"/>
  <c r="BG259" i="4" s="1"/>
  <c r="BH259" i="4" s="1"/>
  <c r="BF259" i="4" s="1"/>
  <c r="BG262" i="4" s="1"/>
  <c r="BH262" i="4" s="1"/>
  <c r="BF262" i="4" s="1"/>
  <c r="BG265" i="4" s="1"/>
  <c r="BH265" i="4" s="1"/>
  <c r="BF265" i="4" s="1"/>
  <c r="BG268" i="4" s="1"/>
  <c r="BH268" i="4" s="1"/>
  <c r="BF268" i="4" s="1"/>
  <c r="BG271" i="4" s="1"/>
  <c r="BH271" i="4" s="1"/>
  <c r="BF271" i="4" s="1"/>
  <c r="BG258" i="4"/>
  <c r="BH258" i="4" s="1"/>
  <c r="BF258" i="4" s="1"/>
  <c r="J10" i="4"/>
  <c r="P10" i="4"/>
  <c r="E10" i="4" s="1"/>
  <c r="F11" i="4" s="1"/>
  <c r="G12" i="4" s="1"/>
  <c r="I10" i="4"/>
  <c r="H10" i="4"/>
  <c r="D10" i="4"/>
  <c r="L10" i="4" l="1"/>
  <c r="I11" i="4"/>
  <c r="P11" i="4"/>
  <c r="E11" i="4" s="1"/>
  <c r="F12" i="4" s="1"/>
  <c r="G13" i="4" s="1"/>
  <c r="J11" i="4"/>
  <c r="C10" i="4"/>
  <c r="BG261" i="4"/>
  <c r="BH261" i="4" s="1"/>
  <c r="BF261" i="4" s="1"/>
  <c r="BG264" i="4" s="1"/>
  <c r="BH264" i="4" s="1"/>
  <c r="BF264" i="4" s="1"/>
  <c r="BG267" i="4" s="1"/>
  <c r="BH267" i="4" s="1"/>
  <c r="BF267" i="4" s="1"/>
  <c r="BG270" i="4" s="1"/>
  <c r="BH270" i="4" s="1"/>
  <c r="BF270" i="4" s="1"/>
  <c r="BG273" i="4" s="1"/>
  <c r="BH273" i="4" s="1"/>
  <c r="BF273" i="4" s="1"/>
  <c r="BG276" i="4" s="1"/>
  <c r="BH276" i="4" s="1"/>
  <c r="BF276" i="4" s="1"/>
  <c r="BG279" i="4" s="1"/>
  <c r="BH279" i="4" s="1"/>
  <c r="BF279" i="4" s="1"/>
  <c r="BG266" i="4"/>
  <c r="BH266" i="4" s="1"/>
  <c r="BF266" i="4" s="1"/>
  <c r="H11" i="4" l="1"/>
  <c r="D11" i="4"/>
  <c r="BG269" i="4"/>
  <c r="BH269" i="4" s="1"/>
  <c r="BF269" i="4" s="1"/>
  <c r="BG272" i="4" s="1"/>
  <c r="BH272" i="4" s="1"/>
  <c r="BF272" i="4" s="1"/>
  <c r="BG275" i="4" s="1"/>
  <c r="BH275" i="4" s="1"/>
  <c r="BF275" i="4" s="1"/>
  <c r="BG278" i="4" s="1"/>
  <c r="BH278" i="4" s="1"/>
  <c r="BF278" i="4" s="1"/>
  <c r="BG274" i="4"/>
  <c r="BH274" i="4" s="1"/>
  <c r="BF274" i="4" s="1"/>
  <c r="L11" i="4"/>
  <c r="BG277" i="4" l="1"/>
  <c r="BH277" i="4" s="1"/>
  <c r="BF277" i="4" s="1"/>
  <c r="P12" i="4"/>
  <c r="E12" i="4" s="1"/>
  <c r="F13" i="4" s="1"/>
  <c r="G14" i="4" s="1"/>
  <c r="I12" i="4"/>
  <c r="J12" i="4"/>
  <c r="C11" i="4"/>
  <c r="H12" i="4" l="1"/>
  <c r="D12" i="4"/>
  <c r="L12" i="4"/>
  <c r="C12" i="4" l="1"/>
  <c r="J13" i="4"/>
  <c r="P13" i="4"/>
  <c r="E13" i="4" s="1"/>
  <c r="F14" i="4" s="1"/>
  <c r="G15" i="4" s="1"/>
  <c r="I13" i="4"/>
  <c r="H13" i="4"/>
  <c r="D13" i="4"/>
  <c r="J14" i="4" l="1"/>
  <c r="P14" i="4"/>
  <c r="E14" i="4" s="1"/>
  <c r="F15" i="4" s="1"/>
  <c r="G16" i="4" s="1"/>
  <c r="I14" i="4"/>
  <c r="L13" i="4"/>
  <c r="C13" i="4" s="1"/>
  <c r="H14" i="4" l="1"/>
  <c r="D14" i="4"/>
  <c r="L14" i="4"/>
  <c r="C14" i="4" l="1"/>
  <c r="I15" i="4"/>
  <c r="J15" i="4"/>
  <c r="P15" i="4"/>
  <c r="E15" i="4" s="1"/>
  <c r="F16" i="4" s="1"/>
  <c r="G17" i="4" s="1"/>
  <c r="H15" i="4"/>
  <c r="D15" i="4"/>
  <c r="P16" i="4" l="1"/>
  <c r="E16" i="4" s="1"/>
  <c r="F17" i="4" s="1"/>
  <c r="G18" i="4" s="1"/>
  <c r="I16" i="4"/>
  <c r="J16" i="4"/>
  <c r="L15" i="4"/>
  <c r="C15" i="4" s="1"/>
  <c r="H16" i="4" l="1"/>
  <c r="D16" i="4"/>
  <c r="L16" i="4"/>
  <c r="C16" i="4" l="1"/>
  <c r="J17" i="4"/>
  <c r="P17" i="4"/>
  <c r="E17" i="4" s="1"/>
  <c r="F18" i="4" s="1"/>
  <c r="G19" i="4" s="1"/>
  <c r="I17" i="4"/>
  <c r="H17" i="4"/>
  <c r="D17" i="4"/>
  <c r="L17" i="4" l="1"/>
  <c r="J18" i="4"/>
  <c r="P18" i="4"/>
  <c r="E18" i="4" s="1"/>
  <c r="F19" i="4" s="1"/>
  <c r="G20" i="4" s="1"/>
  <c r="I18" i="4"/>
  <c r="C17" i="4"/>
  <c r="H18" i="4" l="1"/>
  <c r="C18" i="4" s="1"/>
  <c r="D18" i="4"/>
  <c r="L18" i="4"/>
  <c r="I19" i="4" l="1"/>
  <c r="P19" i="4"/>
  <c r="E19" i="4" s="1"/>
  <c r="F20" i="4" s="1"/>
  <c r="G21" i="4" s="1"/>
  <c r="J19" i="4"/>
  <c r="H19" i="4"/>
  <c r="D19" i="4"/>
  <c r="P20" i="4" l="1"/>
  <c r="E20" i="4" s="1"/>
  <c r="F21" i="4" s="1"/>
  <c r="G22" i="4" s="1"/>
  <c r="I20" i="4"/>
  <c r="J20" i="4"/>
  <c r="L19" i="4"/>
  <c r="C19" i="4" s="1"/>
  <c r="L20" i="4" l="1"/>
  <c r="H20" i="4"/>
  <c r="C20" i="4" s="1"/>
  <c r="D20" i="4"/>
  <c r="H21" i="4" l="1"/>
  <c r="D21" i="4"/>
  <c r="J21" i="4"/>
  <c r="P21" i="4"/>
  <c r="E21" i="4" s="1"/>
  <c r="F22" i="4" s="1"/>
  <c r="G23" i="4" s="1"/>
  <c r="I21" i="4"/>
  <c r="L21" i="4" l="1"/>
  <c r="J22" i="4"/>
  <c r="P22" i="4"/>
  <c r="E22" i="4" s="1"/>
  <c r="F23" i="4" s="1"/>
  <c r="G24" i="4" s="1"/>
  <c r="I22" i="4"/>
  <c r="C21" i="4"/>
  <c r="L22" i="4" l="1"/>
  <c r="H22" i="4"/>
  <c r="C22" i="4" s="1"/>
  <c r="D22" i="4"/>
  <c r="I23" i="4" l="1"/>
  <c r="J23" i="4"/>
  <c r="P23" i="4"/>
  <c r="E23" i="4" s="1"/>
  <c r="F24" i="4" s="1"/>
  <c r="G25" i="4" s="1"/>
  <c r="H23" i="4"/>
  <c r="D23" i="4"/>
  <c r="L23" i="4" l="1"/>
  <c r="C23" i="4" s="1"/>
  <c r="P24" i="4"/>
  <c r="E24" i="4" s="1"/>
  <c r="F25" i="4" s="1"/>
  <c r="G26" i="4" s="1"/>
  <c r="I24" i="4"/>
  <c r="J24" i="4"/>
  <c r="L24" i="4" l="1"/>
  <c r="H24" i="4"/>
  <c r="C24" i="4" s="1"/>
  <c r="D24" i="4"/>
  <c r="J25" i="4" l="1"/>
  <c r="P25" i="4"/>
  <c r="E25" i="4" s="1"/>
  <c r="F26" i="4" s="1"/>
  <c r="G27" i="4" s="1"/>
  <c r="I25" i="4"/>
  <c r="H25" i="4"/>
  <c r="D25" i="4"/>
  <c r="L25" i="4" l="1"/>
  <c r="P26" i="4"/>
  <c r="E26" i="4" s="1"/>
  <c r="F27" i="4" s="1"/>
  <c r="G28" i="4" s="1"/>
  <c r="I26" i="4"/>
  <c r="J26" i="4" s="1"/>
  <c r="C25" i="4"/>
  <c r="L26" i="4" l="1"/>
  <c r="H26" i="4"/>
  <c r="C26" i="4" s="1"/>
  <c r="D26" i="4"/>
  <c r="I27" i="4" l="1"/>
  <c r="P27" i="4"/>
  <c r="E27" i="4" s="1"/>
  <c r="F28" i="4" s="1"/>
  <c r="G29" i="4" s="1"/>
  <c r="H27" i="4"/>
  <c r="D27" i="4"/>
  <c r="J27" i="4" l="1"/>
  <c r="L27" i="4" s="1"/>
  <c r="C27" i="4" s="1"/>
  <c r="P28" i="4"/>
  <c r="E28" i="4" s="1"/>
  <c r="F29" i="4" s="1"/>
  <c r="G30" i="4" s="1"/>
  <c r="I28" i="4"/>
  <c r="H28" i="4" l="1"/>
  <c r="D28" i="4"/>
  <c r="J28" i="4"/>
  <c r="L28" i="4" s="1"/>
  <c r="C28" i="4" l="1"/>
  <c r="P29" i="4"/>
  <c r="E29" i="4" s="1"/>
  <c r="F30" i="4" s="1"/>
  <c r="G31" i="4" s="1"/>
  <c r="I29" i="4"/>
  <c r="J29" i="4" s="1"/>
  <c r="L29" i="4" l="1"/>
  <c r="H29" i="4"/>
  <c r="D29" i="4"/>
  <c r="C29" i="4" l="1"/>
  <c r="H30" i="4"/>
  <c r="D30" i="4"/>
  <c r="P30" i="4"/>
  <c r="E30" i="4" s="1"/>
  <c r="F31" i="4" s="1"/>
  <c r="G32" i="4" s="1"/>
  <c r="I30" i="4"/>
  <c r="J30" i="4" l="1"/>
  <c r="L30" i="4" s="1"/>
  <c r="C30" i="4" s="1"/>
  <c r="I31" i="4"/>
  <c r="J31" i="4" s="1"/>
  <c r="P31" i="4"/>
  <c r="E31" i="4" s="1"/>
  <c r="F32" i="4" s="1"/>
  <c r="G33" i="4" s="1"/>
  <c r="H31" i="4" l="1"/>
  <c r="D31" i="4"/>
  <c r="L31" i="4"/>
  <c r="C31" i="4" l="1"/>
  <c r="H32" i="4" s="1"/>
  <c r="P32" i="4"/>
  <c r="E32" i="4" s="1"/>
  <c r="F33" i="4" s="1"/>
  <c r="G34" i="4" s="1"/>
  <c r="I32" i="4"/>
  <c r="J32" i="4" s="1"/>
  <c r="D32" i="4" l="1"/>
  <c r="L32" i="4"/>
  <c r="C32" i="4" s="1"/>
  <c r="P33" i="4"/>
  <c r="E33" i="4" s="1"/>
  <c r="F34" i="4" s="1"/>
  <c r="G35" i="4" s="1"/>
  <c r="I33" i="4"/>
  <c r="H33" i="4" l="1"/>
  <c r="D33" i="4"/>
  <c r="J33" i="4"/>
  <c r="L33" i="4" s="1"/>
  <c r="C33" i="4" l="1"/>
  <c r="P34" i="4"/>
  <c r="E34" i="4" s="1"/>
  <c r="F35" i="4" s="1"/>
  <c r="G36" i="4" s="1"/>
  <c r="I34" i="4"/>
  <c r="J34" i="4" s="1"/>
  <c r="L34" i="4" l="1"/>
  <c r="H34" i="4"/>
  <c r="C34" i="4" s="1"/>
  <c r="D34" i="4"/>
  <c r="H35" i="4" l="1"/>
  <c r="D35" i="4"/>
  <c r="I35" i="4"/>
  <c r="J35" i="4" s="1"/>
  <c r="P35" i="4"/>
  <c r="E35" i="4" s="1"/>
  <c r="F36" i="4" s="1"/>
  <c r="G37" i="4" s="1"/>
  <c r="L35" i="4" l="1"/>
  <c r="P36" i="4"/>
  <c r="E36" i="4" s="1"/>
  <c r="F37" i="4" s="1"/>
  <c r="G38" i="4" s="1"/>
  <c r="I36" i="4"/>
  <c r="J36" i="4" s="1"/>
  <c r="C35" i="4"/>
  <c r="L36" i="4" l="1"/>
  <c r="H36" i="4"/>
  <c r="C36" i="4" s="1"/>
  <c r="D36" i="4"/>
  <c r="P37" i="4" l="1"/>
  <c r="E37" i="4" s="1"/>
  <c r="F38" i="4" s="1"/>
  <c r="G39" i="4" s="1"/>
  <c r="I37" i="4"/>
  <c r="D37" i="4"/>
  <c r="H37" i="4"/>
  <c r="I38" i="4" l="1"/>
  <c r="P38" i="4"/>
  <c r="E38" i="4" s="1"/>
  <c r="F39" i="4" s="1"/>
  <c r="G40" i="4" s="1"/>
  <c r="J37" i="4"/>
  <c r="L37" i="4" s="1"/>
  <c r="C37" i="4" s="1"/>
  <c r="H38" i="4" l="1"/>
  <c r="D38" i="4"/>
  <c r="J38" i="4"/>
  <c r="L38" i="4" s="1"/>
  <c r="P39" i="4" l="1"/>
  <c r="E39" i="4" s="1"/>
  <c r="F40" i="4" s="1"/>
  <c r="G41" i="4" s="1"/>
  <c r="I39" i="4"/>
  <c r="C38" i="4"/>
  <c r="H39" i="4" l="1"/>
  <c r="D39" i="4"/>
  <c r="J39" i="4"/>
  <c r="L39" i="4" s="1"/>
  <c r="C39" i="4" l="1"/>
  <c r="P40" i="4"/>
  <c r="E40" i="4" s="1"/>
  <c r="F41" i="4" s="1"/>
  <c r="G42" i="4" s="1"/>
  <c r="I40" i="4"/>
  <c r="J40" i="4" l="1"/>
  <c r="L40" i="4" s="1"/>
  <c r="H40" i="4"/>
  <c r="D40" i="4"/>
  <c r="P41" i="4" l="1"/>
  <c r="E41" i="4" s="1"/>
  <c r="F42" i="4" s="1"/>
  <c r="G43" i="4" s="1"/>
  <c r="I41" i="4"/>
  <c r="J41" i="4" s="1"/>
  <c r="C40" i="4"/>
  <c r="L41" i="4" l="1"/>
  <c r="D41" i="4"/>
  <c r="H41" i="4"/>
  <c r="C41" i="4" l="1"/>
  <c r="H42" i="4"/>
  <c r="D42" i="4"/>
  <c r="I42" i="4"/>
  <c r="J42" i="4" s="1"/>
  <c r="P42" i="4"/>
  <c r="E42" i="4" s="1"/>
  <c r="F43" i="4" s="1"/>
  <c r="G44" i="4" s="1"/>
  <c r="L42" i="4" l="1"/>
  <c r="P43" i="4"/>
  <c r="E43" i="4" s="1"/>
  <c r="F44" i="4" s="1"/>
  <c r="G45" i="4" s="1"/>
  <c r="I43" i="4"/>
  <c r="J43" i="4" s="1"/>
  <c r="C42" i="4"/>
  <c r="L43" i="4" l="1"/>
  <c r="H43" i="4"/>
  <c r="C43" i="4" s="1"/>
  <c r="D43" i="4"/>
  <c r="P44" i="4" l="1"/>
  <c r="E44" i="4" s="1"/>
  <c r="F45" i="4" s="1"/>
  <c r="G46" i="4" s="1"/>
  <c r="I44" i="4"/>
  <c r="J44" i="4" s="1"/>
  <c r="H44" i="4"/>
  <c r="D44" i="4"/>
  <c r="L44" i="4" l="1"/>
  <c r="I45" i="4"/>
  <c r="J45" i="4" s="1"/>
  <c r="P45" i="4"/>
  <c r="E45" i="4" s="1"/>
  <c r="C44" i="4"/>
  <c r="D45" i="4" l="1"/>
  <c r="H45" i="4"/>
  <c r="L45" i="4"/>
  <c r="K46" i="4"/>
  <c r="F46" i="4"/>
  <c r="G47" i="4" s="1"/>
  <c r="C45" i="4" l="1"/>
  <c r="I46" i="4"/>
  <c r="P46" i="4"/>
  <c r="E46" i="4" s="1"/>
  <c r="J46" i="4"/>
  <c r="L46" i="4" l="1"/>
  <c r="M46" i="4" s="1"/>
  <c r="K47" i="4"/>
  <c r="F47" i="4"/>
  <c r="G48" i="4" s="1"/>
  <c r="H46" i="4"/>
  <c r="D46" i="4"/>
  <c r="C46" i="4" l="1"/>
  <c r="J47" i="4"/>
  <c r="P47" i="4"/>
  <c r="E47" i="4" s="1"/>
  <c r="I47" i="4"/>
  <c r="L47" i="4" l="1"/>
  <c r="M47" i="4" s="1"/>
  <c r="K48" i="4"/>
  <c r="F48" i="4"/>
  <c r="G49" i="4" s="1"/>
  <c r="H47" i="4"/>
  <c r="D47" i="4"/>
  <c r="C47" i="4" l="1"/>
  <c r="I48" i="4"/>
  <c r="P48" i="4"/>
  <c r="E48" i="4" s="1"/>
  <c r="J48" i="4"/>
  <c r="K49" i="4" l="1"/>
  <c r="F49" i="4"/>
  <c r="G50" i="4" s="1"/>
  <c r="L48" i="4"/>
  <c r="M48" i="4" s="1"/>
  <c r="H48" i="4"/>
  <c r="D48" i="4"/>
  <c r="C48" i="4" l="1"/>
  <c r="J49" i="4"/>
  <c r="P49" i="4"/>
  <c r="E49" i="4" s="1"/>
  <c r="I49" i="4"/>
  <c r="L49" i="4" l="1"/>
  <c r="M49" i="4" s="1"/>
  <c r="F50" i="4"/>
  <c r="G51" i="4" s="1"/>
  <c r="K50" i="4"/>
  <c r="H49" i="4"/>
  <c r="D49" i="4"/>
  <c r="C49" i="4" l="1"/>
  <c r="P50" i="4"/>
  <c r="E50" i="4" s="1"/>
  <c r="I50" i="4"/>
  <c r="J50" i="4"/>
  <c r="L50" i="4" l="1"/>
  <c r="M50" i="4" s="1"/>
  <c r="K51" i="4"/>
  <c r="F51" i="4"/>
  <c r="G52" i="4" s="1"/>
  <c r="H50" i="4"/>
  <c r="D50" i="4"/>
  <c r="C50" i="4" l="1"/>
  <c r="I51" i="4"/>
  <c r="J51" i="4"/>
  <c r="P51" i="4"/>
  <c r="E51" i="4" s="1"/>
  <c r="K52" i="4" l="1"/>
  <c r="F52" i="4"/>
  <c r="G53" i="4" s="1"/>
  <c r="L51" i="4"/>
  <c r="M51" i="4" s="1"/>
  <c r="H51" i="4"/>
  <c r="D51" i="4"/>
  <c r="C51" i="4" l="1"/>
  <c r="J52" i="4"/>
  <c r="P52" i="4"/>
  <c r="E52" i="4" s="1"/>
  <c r="I52" i="4"/>
  <c r="L52" i="4" l="1"/>
  <c r="M52" i="4" s="1"/>
  <c r="F53" i="4"/>
  <c r="G54" i="4" s="1"/>
  <c r="K53" i="4"/>
  <c r="H52" i="4"/>
  <c r="D52" i="4"/>
  <c r="C52" i="4" l="1"/>
  <c r="J53" i="4"/>
  <c r="P53" i="4"/>
  <c r="E53" i="4" s="1"/>
  <c r="I53" i="4"/>
  <c r="L53" i="4" l="1"/>
  <c r="M53" i="4" s="1"/>
  <c r="K54" i="4"/>
  <c r="F54" i="4"/>
  <c r="G55" i="4" s="1"/>
  <c r="H53" i="4"/>
  <c r="D53" i="4"/>
  <c r="C53" i="4" l="1"/>
  <c r="P54" i="4"/>
  <c r="E54" i="4" s="1"/>
  <c r="I54" i="4"/>
  <c r="J54" i="4"/>
  <c r="K55" i="4" l="1"/>
  <c r="F55" i="4"/>
  <c r="G56" i="4" s="1"/>
  <c r="L54" i="4"/>
  <c r="M54" i="4" s="1"/>
  <c r="H54" i="4"/>
  <c r="D54" i="4"/>
  <c r="C54" i="4" l="1"/>
  <c r="P55" i="4"/>
  <c r="E55" i="4" s="1"/>
  <c r="J55" i="4"/>
  <c r="I55" i="4"/>
  <c r="L55" i="4" l="1"/>
  <c r="M55" i="4" s="1"/>
  <c r="K56" i="4"/>
  <c r="F56" i="4"/>
  <c r="G57" i="4" s="1"/>
  <c r="H55" i="4"/>
  <c r="D55" i="4"/>
  <c r="C55" i="4" l="1"/>
  <c r="J56" i="4"/>
  <c r="I56" i="4"/>
  <c r="P56" i="4"/>
  <c r="E56" i="4" s="1"/>
  <c r="K57" i="4" l="1"/>
  <c r="F57" i="4"/>
  <c r="G58" i="4" s="1"/>
  <c r="L56" i="4"/>
  <c r="M56" i="4" s="1"/>
  <c r="H56" i="4"/>
  <c r="D56" i="4"/>
  <c r="C56" i="4" l="1"/>
  <c r="J57" i="4"/>
  <c r="P57" i="4"/>
  <c r="E57" i="4" s="1"/>
  <c r="I57" i="4"/>
  <c r="L57" i="4" l="1"/>
  <c r="M57" i="4" s="1"/>
  <c r="F58" i="4"/>
  <c r="G59" i="4" s="1"/>
  <c r="K58" i="4"/>
  <c r="H57" i="4"/>
  <c r="D57" i="4"/>
  <c r="C57" i="4" l="1"/>
  <c r="P58" i="4"/>
  <c r="E58" i="4" s="1"/>
  <c r="I58" i="4"/>
  <c r="J58" i="4"/>
  <c r="L58" i="4" l="1"/>
  <c r="M58" i="4" s="1"/>
  <c r="K59" i="4"/>
  <c r="F59" i="4"/>
  <c r="G60" i="4" s="1"/>
  <c r="H58" i="4"/>
  <c r="D58" i="4"/>
  <c r="C58" i="4" l="1"/>
  <c r="I59" i="4"/>
  <c r="J59" i="4"/>
  <c r="P59" i="4"/>
  <c r="E59" i="4" s="1"/>
  <c r="K60" i="4" l="1"/>
  <c r="F60" i="4"/>
  <c r="G61" i="4" s="1"/>
  <c r="L59" i="4"/>
  <c r="M59" i="4" s="1"/>
  <c r="H59" i="4"/>
  <c r="D59" i="4"/>
  <c r="C59" i="4" l="1"/>
  <c r="J60" i="4"/>
  <c r="P60" i="4"/>
  <c r="E60" i="4" s="1"/>
  <c r="I60" i="4"/>
  <c r="L60" i="4" l="1"/>
  <c r="M60" i="4" s="1"/>
  <c r="F61" i="4"/>
  <c r="G62" i="4" s="1"/>
  <c r="K61" i="4"/>
  <c r="H60" i="4"/>
  <c r="D60" i="4"/>
  <c r="C60" i="4" l="1"/>
  <c r="J61" i="4"/>
  <c r="P61" i="4"/>
  <c r="E61" i="4" s="1"/>
  <c r="I61" i="4"/>
  <c r="K62" i="4" l="1"/>
  <c r="F62" i="4"/>
  <c r="G63" i="4" s="1"/>
  <c r="L61" i="4"/>
  <c r="M61" i="4" s="1"/>
  <c r="H61" i="4"/>
  <c r="D61" i="4"/>
  <c r="C61" i="4" l="1"/>
  <c r="P62" i="4"/>
  <c r="E62" i="4" s="1"/>
  <c r="I62" i="4"/>
  <c r="J62" i="4"/>
  <c r="L62" i="4" l="1"/>
  <c r="M62" i="4" s="1"/>
  <c r="K63" i="4"/>
  <c r="F63" i="4"/>
  <c r="G64" i="4" s="1"/>
  <c r="H62" i="4"/>
  <c r="D62" i="4"/>
  <c r="C62" i="4" l="1"/>
  <c r="P63" i="4"/>
  <c r="E63" i="4" s="1"/>
  <c r="J63" i="4"/>
  <c r="I63" i="4"/>
  <c r="L63" i="4" l="1"/>
  <c r="M63" i="4" s="1"/>
  <c r="K64" i="4"/>
  <c r="F64" i="4"/>
  <c r="G65" i="4" s="1"/>
  <c r="H63" i="4"/>
  <c r="D63" i="4"/>
  <c r="C63" i="4" l="1"/>
  <c r="J64" i="4"/>
  <c r="I64" i="4"/>
  <c r="P64" i="4"/>
  <c r="E64" i="4" s="1"/>
  <c r="K65" i="4" l="1"/>
  <c r="F65" i="4"/>
  <c r="G66" i="4" s="1"/>
  <c r="L64" i="4"/>
  <c r="M64" i="4" s="1"/>
  <c r="H64" i="4"/>
  <c r="D64" i="4"/>
  <c r="C64" i="4" l="1"/>
  <c r="J65" i="4"/>
  <c r="P65" i="4"/>
  <c r="E65" i="4" s="1"/>
  <c r="F66" i="4" s="1"/>
  <c r="G67" i="4" s="1"/>
  <c r="I65" i="4"/>
  <c r="L65" i="4" l="1"/>
  <c r="M65" i="4" s="1"/>
  <c r="H65" i="4"/>
  <c r="D65" i="4"/>
  <c r="C65" i="4" l="1"/>
  <c r="I66" i="4"/>
  <c r="J66" i="4" s="1"/>
  <c r="P66" i="4"/>
  <c r="E66" i="4" s="1"/>
  <c r="F67" i="4" s="1"/>
  <c r="G68" i="4" s="1"/>
  <c r="L66" i="4" l="1"/>
  <c r="H66" i="4"/>
  <c r="D66" i="4"/>
  <c r="C66" i="4" l="1"/>
  <c r="P67" i="4"/>
  <c r="E67" i="4" s="1"/>
  <c r="F68" i="4" s="1"/>
  <c r="G69" i="4" s="1"/>
  <c r="I67" i="4"/>
  <c r="J67" i="4" s="1"/>
  <c r="H67" i="4"/>
  <c r="D67" i="4"/>
  <c r="L67" i="4" l="1"/>
  <c r="C67" i="4" s="1"/>
  <c r="P68" i="4"/>
  <c r="E68" i="4" s="1"/>
  <c r="F69" i="4" s="1"/>
  <c r="G70" i="4" s="1"/>
  <c r="I68" i="4"/>
  <c r="J68" i="4" s="1"/>
  <c r="H68" i="4" l="1"/>
  <c r="D68" i="4"/>
  <c r="L68" i="4"/>
  <c r="C68" i="4" l="1"/>
  <c r="I69" i="4"/>
  <c r="P69" i="4"/>
  <c r="E69" i="4" s="1"/>
  <c r="F70" i="4" s="1"/>
  <c r="G71" i="4" s="1"/>
  <c r="H69" i="4"/>
  <c r="D69" i="4"/>
  <c r="J69" i="4" l="1"/>
  <c r="L69" i="4" s="1"/>
  <c r="C69" i="4" s="1"/>
  <c r="P70" i="4"/>
  <c r="E70" i="4" s="1"/>
  <c r="F71" i="4" s="1"/>
  <c r="G72" i="4" s="1"/>
  <c r="I70" i="4"/>
  <c r="H70" i="4" l="1"/>
  <c r="D70" i="4"/>
  <c r="J70" i="4"/>
  <c r="L70" i="4" s="1"/>
  <c r="C70" i="4" l="1"/>
  <c r="P71" i="4"/>
  <c r="E71" i="4" s="1"/>
  <c r="F72" i="4" s="1"/>
  <c r="G73" i="4" s="1"/>
  <c r="I71" i="4"/>
  <c r="J71" i="4" l="1"/>
  <c r="L71" i="4" s="1"/>
  <c r="D71" i="4"/>
  <c r="H71" i="4"/>
  <c r="P72" i="4" l="1"/>
  <c r="E72" i="4" s="1"/>
  <c r="F73" i="4" s="1"/>
  <c r="G74" i="4" s="1"/>
  <c r="I72" i="4"/>
  <c r="C71" i="4"/>
  <c r="H72" i="4" l="1"/>
  <c r="D72" i="4"/>
  <c r="J72" i="4"/>
  <c r="L72" i="4" s="1"/>
  <c r="C72" i="4" l="1"/>
  <c r="P73" i="4"/>
  <c r="E73" i="4" s="1"/>
  <c r="F74" i="4" s="1"/>
  <c r="G75" i="4" s="1"/>
  <c r="I73" i="4"/>
  <c r="J73" i="4" l="1"/>
  <c r="L73" i="4" s="1"/>
  <c r="H73" i="4"/>
  <c r="D73" i="4"/>
  <c r="P74" i="4" l="1"/>
  <c r="E74" i="4" s="1"/>
  <c r="F75" i="4" s="1"/>
  <c r="G76" i="4" s="1"/>
  <c r="I74" i="4"/>
  <c r="J74" i="4" s="1"/>
  <c r="C73" i="4"/>
  <c r="L74" i="4" l="1"/>
  <c r="H74" i="4"/>
  <c r="C74" i="4" s="1"/>
  <c r="D74" i="4"/>
  <c r="I75" i="4" l="1"/>
  <c r="P75" i="4"/>
  <c r="E75" i="4" s="1"/>
  <c r="F76" i="4" s="1"/>
  <c r="G77" i="4" s="1"/>
  <c r="H75" i="4"/>
  <c r="D75" i="4"/>
  <c r="P76" i="4" l="1"/>
  <c r="E76" i="4" s="1"/>
  <c r="F77" i="4" s="1"/>
  <c r="G78" i="4" s="1"/>
  <c r="I76" i="4"/>
  <c r="J76" i="4" s="1"/>
  <c r="J75" i="4"/>
  <c r="L75" i="4" s="1"/>
  <c r="C75" i="4" s="1"/>
  <c r="H76" i="4" l="1"/>
  <c r="D76" i="4"/>
  <c r="L76" i="4"/>
  <c r="C76" i="4" l="1"/>
  <c r="P77" i="4"/>
  <c r="E77" i="4" s="1"/>
  <c r="F78" i="4" s="1"/>
  <c r="G79" i="4" s="1"/>
  <c r="I77" i="4"/>
  <c r="J77" i="4" s="1"/>
  <c r="H77" i="4"/>
  <c r="D77" i="4"/>
  <c r="P78" i="4" l="1"/>
  <c r="E78" i="4" s="1"/>
  <c r="F79" i="4" s="1"/>
  <c r="G80" i="4" s="1"/>
  <c r="I78" i="4"/>
  <c r="J78" i="4" s="1"/>
  <c r="L77" i="4"/>
  <c r="C77" i="4" s="1"/>
  <c r="L78" i="4" l="1"/>
  <c r="H78" i="4"/>
  <c r="D78" i="4"/>
  <c r="P79" i="4" l="1"/>
  <c r="E79" i="4" s="1"/>
  <c r="F80" i="4" s="1"/>
  <c r="G81" i="4" s="1"/>
  <c r="I79" i="4"/>
  <c r="C78" i="4"/>
  <c r="J79" i="4" l="1"/>
  <c r="L79" i="4" s="1"/>
  <c r="H79" i="4"/>
  <c r="D79" i="4"/>
  <c r="P80" i="4" l="1"/>
  <c r="E80" i="4" s="1"/>
  <c r="F81" i="4" s="1"/>
  <c r="G82" i="4" s="1"/>
  <c r="I80" i="4"/>
  <c r="C79" i="4"/>
  <c r="J80" i="4" l="1"/>
  <c r="L80" i="4" s="1"/>
  <c r="H80" i="4"/>
  <c r="D80" i="4"/>
  <c r="P81" i="4" l="1"/>
  <c r="E81" i="4" s="1"/>
  <c r="F82" i="4" s="1"/>
  <c r="G83" i="4" s="1"/>
  <c r="I81" i="4"/>
  <c r="J81" i="4" s="1"/>
  <c r="C80" i="4"/>
  <c r="L81" i="4" l="1"/>
  <c r="H81" i="4"/>
  <c r="C81" i="4" s="1"/>
  <c r="D81" i="4"/>
  <c r="P82" i="4" l="1"/>
  <c r="E82" i="4" s="1"/>
  <c r="F83" i="4" s="1"/>
  <c r="G84" i="4" s="1"/>
  <c r="I82" i="4"/>
  <c r="J82" i="4" s="1"/>
  <c r="H82" i="4"/>
  <c r="D82" i="4"/>
  <c r="I83" i="4" l="1"/>
  <c r="P83" i="4"/>
  <c r="E83" i="4" s="1"/>
  <c r="F84" i="4" s="1"/>
  <c r="G85" i="4" s="1"/>
  <c r="G86" i="4" s="1"/>
  <c r="L82" i="4"/>
  <c r="C82" i="4" s="1"/>
  <c r="H83" i="4" l="1"/>
  <c r="D83" i="4"/>
  <c r="J83" i="4"/>
  <c r="L83" i="4" s="1"/>
  <c r="P84" i="4" l="1"/>
  <c r="E84" i="4" s="1"/>
  <c r="F85" i="4" s="1"/>
  <c r="F86" i="4" s="1"/>
  <c r="I84" i="4"/>
  <c r="C83" i="4"/>
  <c r="J84" i="4" l="1"/>
  <c r="L84" i="4" s="1"/>
  <c r="H84" i="4"/>
  <c r="D84" i="4"/>
  <c r="P85" i="4" l="1"/>
  <c r="E85" i="4" s="1"/>
  <c r="E86" i="4" s="1"/>
  <c r="I85" i="4"/>
  <c r="J85" i="4" s="1"/>
  <c r="C84" i="4"/>
  <c r="L85" i="4" l="1"/>
  <c r="H85" i="4"/>
  <c r="C85" i="4" s="1"/>
  <c r="C86" i="4" s="1"/>
  <c r="B2" i="4" s="1"/>
  <c r="B8" i="1" s="1"/>
  <c r="D85" i="4"/>
  <c r="D86" i="4" s="1"/>
</calcChain>
</file>

<file path=xl/sharedStrings.xml><?xml version="1.0" encoding="utf-8"?>
<sst xmlns="http://schemas.openxmlformats.org/spreadsheetml/2006/main" count="79" uniqueCount="78">
  <si>
    <t>🔐  SHA-1 — pure Excel formulas, no VBA</t>
  </si>
  <si>
    <t>32-bit words · Big-endian · 80 rounds · 4 constants · Excel 2013+</t>
  </si>
  <si>
    <t>✏️  ENTER A WORD  (1–7 ASCII characters):</t>
  </si>
  <si>
    <t>hello</t>
  </si>
  <si>
    <t>🔑  SHA-1 RESULT:</t>
  </si>
  <si>
    <t>📌 Sheets: 📖 How SHA-1 Works  |  📦 Константы  |  ⚙️ Computation</t>
  </si>
  <si>
    <t>✅ Verified: "hello" → aaf4c61ddcc5e8a2dabede0f3b482cd9aea9434d</t>
  </si>
  <si>
    <t>⚠️  Maximum 7 characters · ASCII only · SHA-1 считается устаревшим с 2017 года</t>
  </si>
  <si>
    <t>📖  How SHA-1 Works — step-by-step explanation</t>
  </si>
  <si>
    <t xml:space="preserve">  SHA-1 Overview</t>
  </si>
  <si>
    <t>SHA-1 — хэш-функция NIST (1995), пришедшая на смену MD5.
Блок: 512 бит (64 байта). Хэш: 160 бит (40 hex символов).
5 переменных состояния (a,b,c,d,e). 80 раундов. 4 константы K.
⚠️ Считается криптографически слабым с 2017 года (SHAttered атака).</t>
  </si>
  <si>
    <t xml:space="preserve">  Comparison with MD5</t>
  </si>
  <si>
    <t>MD5: 4 переменные, 64 раунда, little-endian, 128-бит хэш
SHA-1: 5 переменных, 80 раундов, big-endian, 160-бит хэш
Главные отличия:
· SHA-1 использует ROL (левый циклический сдвиг), MD5 — смешанные сдвиги
· SHA-1: расписание W[i] через XOR+ROL, MD5: прямые слова M[i]
· SHA-1 big-endian (как SHA-256), MD5 little-endian</t>
  </si>
  <si>
    <t xml:space="preserve">  Padding</t>
  </si>
  <si>
    <t>Идентично SHA-256:
· Добавить байт 0x80 после сообщения
· Добавлять нули до длины ≡ 56 (mod 64)
· Байты 56..63: исходная длина в битах (big-endian 64-bit)
Для ≤7 байт: итого ровно 512 бит = 16 слов W[0..15].</t>
  </si>
  <si>
    <t xml:space="preserve">  Initial Constants H[0..4]</t>
  </si>
  <si>
    <t>5 магических 32-битных чисел (из стандарта FIPS 180):
H0 = 0x67452301  (те же что в MD5!)
H1 = 0xEFCDAB89
H2 = 0x98BADCFE
H3 = 0x10325476
H4 = 0xC3D2E1F0  ← новый, которого нет в MD5</t>
  </si>
  <si>
    <t xml:space="preserve">  Message Schedule W[0..79]</t>
  </si>
  <si>
    <t>W[0..15] = 16 слов из входного блока (big-endian 32-bit).
W[i] для i=16..79:
  W[i] = ROL32( W[i-3] XOR W[i-8] XOR W[i-14] XOR W[i-16],  1 )
В Excel: XOR через a+b-2×AND(a,b), ROL через MOD/INT.
Промежуточный XOR хранится в helper-ячейке, затем ROL.</t>
  </si>
  <si>
    <t xml:space="preserve">  4 Rounds of 20 Operations</t>
  </si>
  <si>
    <t>Каждый шаг i (0..79):
  f  = функция от (b,c,d) зависящая от раунда
  tmp = ADD32( ROL32(a,5), f, e, K[раунд], W[i] )
  e←d,  d←c,  c←ROL32(b,30),  b←a,  a←tmp
Round 1 (i=0..19):  f = Ch(b,c,d) = AND(b,c) + AND(NOT_b,d),  K=0x5A827999
Round 2 (i=20..39): f = Parity(b,c,d) = XOR(b,c,d),           K=0x6ED9EBA1
Round 3 (i=40..59): f = Maj(b,c,d) = AND(b,c)+AND(b,d)+AND(c,d)-2×AND(AND(b,c),AND(c,d)),  K=0x8F1BBCDC
Round 4 (i=60..79): f = Parity(b,c,d) = XOR(b,c,d),           K=0xCA62C1D6</t>
  </si>
  <si>
    <t xml:space="preserve">  Finalization</t>
  </si>
  <si>
    <t>После 80 шагов: H[i] += {a,b,c,d,e}[i] (mod 2³²).
Вывод: H[0]||H[1]||H[2]||H[3]||H[4] big-endian = 40 hex символов = 160 бит.</t>
  </si>
  <si>
    <t xml:space="preserve">  Excel Implementation</t>
  </si>
  <si>
    <t>· ROL32(x,n) = MOD( MOD(x,2^(32−n))×2^n + INT(x/2^(32−n)), 2³² )
· XOR32(a,b) через AND32 (побайтовое INT/MOD разложение)
· Ch = AND(b,c) + AND(NOT_b,d)  [биты попарно непересекаются]
· Parity = XOR3(b,c,d) = b+c-2AND(b,c), затем XOR с d
· Maj = AND(b,c)+AND(b,d)+AND(c,d)-2×AND(AND(b,c),AND(c,d))
· Каждый W[i&gt;=16] хранит промежуточный XOR в helper-ячейке
· Итого ~1500 формул на 3 листа</t>
  </si>
  <si>
    <t>📦  SHA-1 Constants: K[0..3] and H[0..4]</t>
  </si>
  <si>
    <t>K[i] is used in each of 4 blocks of 20 operations.  H[0..4] — initial state values (same as MD5 for H[0..3]).</t>
  </si>
  <si>
    <t>Round</t>
  </si>
  <si>
    <t>K (decimal)</t>
  </si>
  <si>
    <t>K (hex)</t>
  </si>
  <si>
    <t>Operations</t>
  </si>
  <si>
    <t>Initial H[0..4]</t>
  </si>
  <si>
    <t>Round 1 (0–19)</t>
  </si>
  <si>
    <t>0x5A827999</t>
  </si>
  <si>
    <t>Ch (f=AND+AND)</t>
  </si>
  <si>
    <t>H0 = 1732584193</t>
  </si>
  <si>
    <t>0x67452301</t>
  </si>
  <si>
    <t>√2 (×2³²)</t>
  </si>
  <si>
    <t>Round 2 (20–39)</t>
  </si>
  <si>
    <t>0x6ED9EBA1</t>
  </si>
  <si>
    <t>Parity (f=XOR)</t>
  </si>
  <si>
    <t>H1 = 4023233417</t>
  </si>
  <si>
    <t>0xEFCDAB89</t>
  </si>
  <si>
    <t>√3</t>
  </si>
  <si>
    <t>Round 3 (40–59)</t>
  </si>
  <si>
    <t>0x8F1BBCDC</t>
  </si>
  <si>
    <t>Maj (f=AND×3)</t>
  </si>
  <si>
    <t>H2 = 2562383102</t>
  </si>
  <si>
    <t>0x98BADCFE</t>
  </si>
  <si>
    <t>√5</t>
  </si>
  <si>
    <t>Round 4 (60–79)</t>
  </si>
  <si>
    <t>0xCA62C1D6</t>
  </si>
  <si>
    <t>H3 = 271733878</t>
  </si>
  <si>
    <t>0x10325476</t>
  </si>
  <si>
    <t>√7</t>
  </si>
  <si>
    <t>H4 = 3285377520</t>
  </si>
  <si>
    <t>0xC3D2E1F0</t>
  </si>
  <si>
    <t>√11</t>
  </si>
  <si>
    <t>⚙️  SHA-1 Computation — 80 rounds  (a,b,c,d,e + helper columns)</t>
  </si>
  <si>
    <t>Each step: tmp=ADD32(ROL(a,5), f(b,c,d), e, K, W[i])  e←d  d←c  c←ROL(b,30)  b←a  a←tmp  |  Round 1: f=Ch  Round 2: f=XOR  Round 3: f=Maj  Round 4: f=XOR</t>
  </si>
  <si>
    <t>Step</t>
  </si>
  <si>
    <t>a</t>
  </si>
  <si>
    <t>b</t>
  </si>
  <si>
    <t>c</t>
  </si>
  <si>
    <t>d</t>
  </si>
  <si>
    <t>e</t>
  </si>
  <si>
    <t>ROL(a,5)</t>
  </si>
  <si>
    <t>f_part1</t>
  </si>
  <si>
    <t>f_part2</t>
  </si>
  <si>
    <t>AND(fp1,fp2)</t>
  </si>
  <si>
    <t>f</t>
  </si>
  <si>
    <t>AND(f,W_k)</t>
  </si>
  <si>
    <t>tmp_inner</t>
  </si>
  <si>
    <t>tmp=new_a</t>
  </si>
  <si>
    <t>ROL(b,30)</t>
  </si>
  <si>
    <t>W[i]</t>
  </si>
  <si>
    <t>INIT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</si>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</sst>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charset val="1"/>
    </font>
    <font>
      <b/>
      <sz val="15"/>
      <color rgb="FFFFFFFF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22"/>
      <color rgb="FF1F3864"/>
      <name val="Calibri"/>
      <family val="2"/>
      <charset val="204"/>
    </font>
    <font>
      <b/>
      <sz val="13"/>
      <color rgb="FF1F3864"/>
      <name val="Courier New"/>
      <family val="3"/>
      <charset val="204"/>
    </font>
    <font>
      <b/>
      <sz val="10"/>
      <color rgb="FF1F3864"/>
      <name val="Calibri"/>
      <family val="2"/>
      <charset val="204"/>
    </font>
    <font>
      <i/>
      <sz val="9"/>
      <color rgb="FF375623"/>
      <name val="Calibri"/>
      <family val="2"/>
      <charset val="204"/>
    </font>
    <font>
      <i/>
      <sz val="9"/>
      <color rgb="FF856404"/>
      <name val="Calibri"/>
      <family val="2"/>
      <charset val="204"/>
    </font>
    <font>
      <b/>
      <sz val="14"/>
      <color rgb="FFFFFFFF"/>
      <name val="Calibri"/>
      <family val="2"/>
      <charset val="204"/>
    </font>
    <font>
      <b/>
      <sz val="10"/>
      <color rgb="FFFFFFFF"/>
      <name val="Calibri"/>
      <family val="2"/>
      <charset val="204"/>
    </font>
    <font>
      <sz val="9"/>
      <color rgb="FF1F3864"/>
      <name val="Calibri"/>
      <family val="2"/>
      <charset val="204"/>
    </font>
    <font>
      <b/>
      <sz val="13"/>
      <color rgb="FFFFFFFF"/>
      <name val="Calibri"/>
      <family val="2"/>
      <charset val="204"/>
    </font>
    <font>
      <i/>
      <sz val="9"/>
      <color rgb="FF1F3864"/>
      <name val="Calibri"/>
      <family val="2"/>
      <charset val="204"/>
    </font>
    <font>
      <b/>
      <sz val="9"/>
      <color rgb="FFFFFFFF"/>
      <name val="Calibri"/>
      <family val="2"/>
      <charset val="204"/>
    </font>
    <font>
      <sz val="9"/>
      <color rgb="FF000000"/>
      <name val="Courier New"/>
      <family val="3"/>
      <charset val="204"/>
    </font>
    <font>
      <sz val="8"/>
      <color rgb="FF404040"/>
      <name val="Calibri"/>
      <family val="2"/>
      <charset val="204"/>
    </font>
    <font>
      <b/>
      <sz val="12"/>
      <color rgb="FF1F3864"/>
      <name val="Courier New"/>
      <family val="3"/>
      <charset val="204"/>
    </font>
    <font>
      <i/>
      <sz val="8"/>
      <color rgb="FF1F3864"/>
      <name val="Calibri"/>
      <family val="2"/>
      <charset val="204"/>
    </font>
    <font>
      <b/>
      <sz val="7"/>
      <color rgb="FFFFFFFF"/>
      <name val="Calibri"/>
      <family val="2"/>
      <charset val="204"/>
    </font>
    <font>
      <b/>
      <sz val="8"/>
      <color rgb="FFFFFFFF"/>
      <name val="Calibri"/>
      <family val="2"/>
      <charset val="204"/>
    </font>
    <font>
      <sz val="8"/>
      <color rgb="FF000000"/>
      <name val="Courier New"/>
      <family val="3"/>
      <charset val="204"/>
    </font>
    <font>
      <sz val="7"/>
      <color rgb="FF000000"/>
      <name val="Courier New"/>
      <family val="3"/>
      <charset val="204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B4332"/>
      </patternFill>
    </fill>
    <fill>
      <patternFill patternType="solid">
        <fgColor rgb="FFF2F2F2"/>
        <bgColor rgb="FFF4F6FB"/>
      </patternFill>
    </fill>
    <fill>
      <patternFill patternType="solid">
        <fgColor rgb="FFC00000"/>
        <bgColor rgb="FF8B0000"/>
      </patternFill>
    </fill>
    <fill>
      <patternFill patternType="solid">
        <fgColor rgb="FFFFF2CC"/>
        <bgColor rgb="FFFFF3CD"/>
      </patternFill>
    </fill>
    <fill>
      <patternFill patternType="solid">
        <fgColor rgb="FFE2EFDA"/>
        <bgColor rgb="FFDCFCE7"/>
      </patternFill>
    </fill>
    <fill>
      <patternFill patternType="solid">
        <fgColor rgb="FFFDECEA"/>
        <bgColor rgb="FFFCE7F3"/>
      </patternFill>
    </fill>
    <fill>
      <patternFill patternType="solid">
        <fgColor rgb="FFFFF3CD"/>
        <bgColor rgb="FFFFF2CC"/>
      </patternFill>
    </fill>
    <fill>
      <patternFill patternType="solid">
        <fgColor rgb="FFF4F6FB"/>
        <bgColor rgb="FFF2F2F2"/>
      </patternFill>
    </fill>
    <fill>
      <patternFill patternType="solid">
        <fgColor rgb="FFFFF9C4"/>
        <bgColor rgb="FFFFF3CD"/>
      </patternFill>
    </fill>
    <fill>
      <patternFill patternType="solid">
        <fgColor rgb="FFFFFFFF"/>
        <bgColor rgb="FFF4F6FB"/>
      </patternFill>
    </fill>
    <fill>
      <patternFill patternType="solid">
        <fgColor rgb="FFDBEAFE"/>
        <bgColor rgb="FFE2EFDA"/>
      </patternFill>
    </fill>
    <fill>
      <patternFill patternType="solid">
        <fgColor rgb="FFDCFCE7"/>
        <bgColor rgb="FFE2EFDA"/>
      </patternFill>
    </fill>
    <fill>
      <patternFill patternType="solid">
        <fgColor rgb="FFFCE7F3"/>
        <bgColor rgb="FFFDECEA"/>
      </patternFill>
    </fill>
    <fill>
      <patternFill patternType="solid">
        <fgColor rgb="FFFDF2F0"/>
        <bgColor rgb="FFFDECEA"/>
      </patternFill>
    </fill>
    <fill>
      <patternFill patternType="solid">
        <fgColor rgb="FF8B0000"/>
        <bgColor rgb="FF800000"/>
      </patternFill>
    </fill>
    <fill>
      <patternFill patternType="solid">
        <fgColor rgb="FF1B4332"/>
        <bgColor rgb="FF1F3864"/>
      </patternFill>
    </fill>
    <fill>
      <patternFill patternType="solid">
        <fgColor rgb="FF4A1942"/>
        <bgColor rgb="FF404040"/>
      </patternFill>
    </fill>
  </fills>
  <borders count="6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 style="medium">
        <color rgb="FF375623"/>
      </left>
      <right/>
      <top style="medium">
        <color rgb="FF375623"/>
      </top>
      <bottom style="medium">
        <color rgb="FF375623"/>
      </bottom>
      <diagonal/>
    </border>
    <border>
      <left style="thin">
        <color rgb="FFFFCDD2"/>
      </left>
      <right/>
      <top style="thin">
        <color rgb="FFFFCDD2"/>
      </top>
      <bottom style="thin">
        <color rgb="FFFFCDD2"/>
      </bottom>
      <diagonal/>
    </border>
    <border>
      <left style="thin">
        <color rgb="FFFFCDD2"/>
      </left>
      <right style="thin">
        <color rgb="FFFFCDD2"/>
      </right>
      <top style="thin">
        <color rgb="FFFFCDD2"/>
      </top>
      <bottom style="thin">
        <color rgb="FFFFCDD2"/>
      </bottom>
      <diagonal/>
    </border>
    <border>
      <left/>
      <right/>
      <top style="medium">
        <color rgb="FF375623"/>
      </top>
      <bottom style="medium">
        <color rgb="FF375623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4" fillId="4" borderId="3" xfId="0" applyFont="1" applyFill="1" applyBorder="1" applyAlignment="1">
      <alignment horizontal="center" vertical="center"/>
    </xf>
    <xf numFmtId="0" fontId="13" fillId="9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left" vertical="top" wrapText="1"/>
    </xf>
    <xf numFmtId="0" fontId="10" fillId="4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14" fillId="4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16" fillId="12" borderId="4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 vertical="center"/>
    </xf>
    <xf numFmtId="0" fontId="16" fillId="13" borderId="4" xfId="0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0" fontId="16" fillId="14" borderId="4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center" vertical="center"/>
    </xf>
    <xf numFmtId="0" fontId="22" fillId="15" borderId="4" xfId="0" applyFont="1" applyFill="1" applyBorder="1" applyAlignment="1">
      <alignment horizontal="center" vertical="center"/>
    </xf>
    <xf numFmtId="0" fontId="20" fillId="16" borderId="4" xfId="0" applyFont="1" applyFill="1" applyBorder="1" applyAlignment="1">
      <alignment horizontal="center" vertical="center"/>
    </xf>
    <xf numFmtId="0" fontId="21" fillId="12" borderId="4" xfId="0" applyFont="1" applyFill="1" applyBorder="1" applyAlignment="1">
      <alignment horizontal="center" vertical="center"/>
    </xf>
    <xf numFmtId="0" fontId="20" fillId="17" borderId="4" xfId="0" applyFont="1" applyFill="1" applyBorder="1" applyAlignment="1">
      <alignment horizontal="center" vertical="center"/>
    </xf>
    <xf numFmtId="0" fontId="21" fillId="13" borderId="4" xfId="0" applyFont="1" applyFill="1" applyBorder="1" applyAlignment="1">
      <alignment horizontal="center" vertical="center"/>
    </xf>
    <xf numFmtId="0" fontId="20" fillId="18" borderId="4" xfId="0" applyFont="1" applyFill="1" applyBorder="1" applyAlignment="1">
      <alignment horizontal="center" vertical="center"/>
    </xf>
    <xf numFmtId="0" fontId="21" fillId="14" borderId="4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15" borderId="4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8" fillId="9" borderId="0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00FFFF"/>
      <rgbColor rgb="FF8B0000"/>
      <rgbColor rgb="FF008000"/>
      <rgbColor rgb="FF000080"/>
      <rgbColor rgb="FF856404"/>
      <rgbColor rgb="FF800080"/>
      <rgbColor rgb="FF008080"/>
      <rgbColor rgb="FFFDECEA"/>
      <rgbColor rgb="FF808080"/>
      <rgbColor rgb="FF9999FF"/>
      <rgbColor rgb="FF993366"/>
      <rgbColor rgb="FFFFF9C4"/>
      <rgbColor rgb="FFDCFCE7"/>
      <rgbColor rgb="FF4A1942"/>
      <rgbColor rgb="FFFF8080"/>
      <rgbColor rgb="FF0066CC"/>
      <rgbColor rgb="FFFCE7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FDA"/>
      <rgbColor rgb="FFFFF3CD"/>
      <rgbColor rgb="FFF2F2F2"/>
      <rgbColor rgb="FFFDF2F0"/>
      <rgbColor rgb="FFF4F6FB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375623"/>
      <rgbColor rgb="FF1B4332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zoomScaleNormal="100" workbookViewId="0">
      <selection activeCell="I14" sqref="I14"/>
    </sheetView>
  </sheetViews>
  <sheetFormatPr defaultColWidth="8.7109375" defaultRowHeight="15" x14ac:dyDescent="0.25"/>
  <cols>
    <col min="1" max="1" width="3" style="15" customWidth="1"/>
    <col min="2" max="2" width="30" style="15" customWidth="1"/>
    <col min="3" max="3" width="48" style="15" customWidth="1"/>
  </cols>
  <sheetData>
    <row r="1" spans="2:3" ht="37.5" customHeight="1" x14ac:dyDescent="0.25">
      <c r="B1" s="14" t="s">
        <v>0</v>
      </c>
      <c r="C1" s="14"/>
    </row>
    <row r="2" spans="2:3" ht="15" customHeight="1" x14ac:dyDescent="0.25">
      <c r="B2" s="13" t="s">
        <v>1</v>
      </c>
      <c r="C2" s="13"/>
    </row>
    <row r="4" spans="2:3" ht="24" customHeight="1" thickBot="1" x14ac:dyDescent="0.3">
      <c r="B4" s="12" t="s">
        <v>2</v>
      </c>
      <c r="C4" s="12"/>
    </row>
    <row r="5" spans="2:3" ht="39.75" customHeight="1" thickBot="1" x14ac:dyDescent="0.3">
      <c r="B5" s="11" t="s">
        <v>3</v>
      </c>
      <c r="C5" s="11"/>
    </row>
    <row r="7" spans="2:3" ht="21.75" customHeight="1" thickBot="1" x14ac:dyDescent="0.3">
      <c r="B7" s="12" t="s">
        <v>4</v>
      </c>
      <c r="C7" s="12"/>
    </row>
    <row r="8" spans="2:3" ht="30" customHeight="1" thickBot="1" x14ac:dyDescent="0.3">
      <c r="B8" s="10" t="str">
        <f>'⚙️ Computation'!B2</f>
        <v>aaf4c61ddcc5e8a2dabede0f3b482cd9aea9434d</v>
      </c>
      <c r="C8" s="44"/>
    </row>
    <row r="10" spans="2:3" ht="15" customHeight="1" x14ac:dyDescent="0.25">
      <c r="B10" s="9" t="s">
        <v>5</v>
      </c>
      <c r="C10" s="9"/>
    </row>
    <row r="12" spans="2:3" ht="15" customHeight="1" x14ac:dyDescent="0.25">
      <c r="B12" s="8" t="s">
        <v>6</v>
      </c>
      <c r="C12" s="8"/>
    </row>
    <row r="13" spans="2:3" ht="15" customHeight="1" x14ac:dyDescent="0.25">
      <c r="B13" s="7" t="s">
        <v>7</v>
      </c>
      <c r="C13" s="7"/>
    </row>
  </sheetData>
  <mergeCells count="9">
    <mergeCell ref="B8:C8"/>
    <mergeCell ref="B10:C10"/>
    <mergeCell ref="B12:C12"/>
    <mergeCell ref="B13:C13"/>
    <mergeCell ref="B1:C1"/>
    <mergeCell ref="B2:C2"/>
    <mergeCell ref="B4:C4"/>
    <mergeCell ref="B5:C5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zoomScaleNormal="100" workbookViewId="0"/>
  </sheetViews>
  <sheetFormatPr defaultColWidth="8.7109375" defaultRowHeight="15" x14ac:dyDescent="0.25"/>
  <cols>
    <col min="1" max="1" width="3" style="15" customWidth="1"/>
    <col min="2" max="2" width="30" style="15" customWidth="1"/>
    <col min="3" max="3" width="72" style="15" customWidth="1"/>
  </cols>
  <sheetData>
    <row r="1" spans="2:3" ht="30" customHeight="1" x14ac:dyDescent="0.25">
      <c r="B1" s="6" t="s">
        <v>8</v>
      </c>
      <c r="C1" s="6"/>
    </row>
    <row r="2" spans="2:3" ht="15" customHeight="1" x14ac:dyDescent="0.25">
      <c r="B2" s="5" t="s">
        <v>9</v>
      </c>
      <c r="C2" s="5"/>
    </row>
    <row r="3" spans="2:3" ht="78" customHeight="1" x14ac:dyDescent="0.25">
      <c r="B3" s="4" t="s">
        <v>10</v>
      </c>
      <c r="C3" s="4"/>
    </row>
    <row r="4" spans="2:3" ht="15" customHeight="1" x14ac:dyDescent="0.25">
      <c r="B4" s="5" t="s">
        <v>11</v>
      </c>
      <c r="C4" s="5"/>
    </row>
    <row r="5" spans="2:3" ht="129" customHeight="1" x14ac:dyDescent="0.25">
      <c r="B5" s="4" t="s">
        <v>12</v>
      </c>
      <c r="C5" s="4"/>
    </row>
    <row r="6" spans="2:3" ht="15" customHeight="1" x14ac:dyDescent="0.25">
      <c r="B6" s="5" t="s">
        <v>13</v>
      </c>
      <c r="C6" s="5"/>
    </row>
    <row r="7" spans="2:3" ht="94.5" customHeight="1" x14ac:dyDescent="0.25">
      <c r="B7" s="4" t="s">
        <v>14</v>
      </c>
      <c r="C7" s="4"/>
    </row>
    <row r="8" spans="2:3" ht="15" customHeight="1" x14ac:dyDescent="0.25">
      <c r="B8" s="5" t="s">
        <v>15</v>
      </c>
      <c r="C8" s="5"/>
    </row>
    <row r="9" spans="2:3" ht="111.75" customHeight="1" x14ac:dyDescent="0.25">
      <c r="B9" s="4" t="s">
        <v>16</v>
      </c>
      <c r="C9" s="4"/>
    </row>
    <row r="10" spans="2:3" ht="15" customHeight="1" x14ac:dyDescent="0.25">
      <c r="B10" s="5" t="s">
        <v>17</v>
      </c>
      <c r="C10" s="5"/>
    </row>
    <row r="11" spans="2:3" ht="111.75" customHeight="1" x14ac:dyDescent="0.25">
      <c r="B11" s="4" t="s">
        <v>18</v>
      </c>
      <c r="C11" s="4"/>
    </row>
    <row r="12" spans="2:3" ht="15" customHeight="1" x14ac:dyDescent="0.25">
      <c r="B12" s="5" t="s">
        <v>19</v>
      </c>
      <c r="C12" s="5"/>
    </row>
    <row r="13" spans="2:3" ht="162.75" customHeight="1" x14ac:dyDescent="0.25">
      <c r="B13" s="4" t="s">
        <v>20</v>
      </c>
      <c r="C13" s="4"/>
    </row>
    <row r="14" spans="2:3" ht="15" customHeight="1" x14ac:dyDescent="0.25">
      <c r="B14" s="5" t="s">
        <v>21</v>
      </c>
      <c r="C14" s="5"/>
    </row>
    <row r="15" spans="2:3" ht="43.5" customHeight="1" x14ac:dyDescent="0.25">
      <c r="B15" s="4" t="s">
        <v>22</v>
      </c>
      <c r="C15" s="4"/>
    </row>
    <row r="16" spans="2:3" ht="15" customHeight="1" x14ac:dyDescent="0.25">
      <c r="B16" s="5" t="s">
        <v>23</v>
      </c>
      <c r="C16" s="5"/>
    </row>
    <row r="17" spans="2:3" ht="129" customHeight="1" x14ac:dyDescent="0.25">
      <c r="B17" s="4" t="s">
        <v>24</v>
      </c>
      <c r="C17" s="4"/>
    </row>
  </sheetData>
  <mergeCells count="17">
    <mergeCell ref="B16:C16"/>
    <mergeCell ref="B17:C17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zoomScaleNormal="100" workbookViewId="0"/>
  </sheetViews>
  <sheetFormatPr defaultColWidth="8.7109375" defaultRowHeight="15" x14ac:dyDescent="0.25"/>
  <cols>
    <col min="1" max="1" width="3" style="15" customWidth="1"/>
    <col min="2" max="2" width="7" style="15" customWidth="1"/>
    <col min="3" max="3" width="18" style="15" customWidth="1"/>
    <col min="4" max="4" width="12" style="15" customWidth="1"/>
    <col min="5" max="5" width="10" style="15" customWidth="1"/>
    <col min="6" max="6" width="3" style="15" customWidth="1"/>
    <col min="7" max="7" width="18" style="15" customWidth="1"/>
    <col min="8" max="9" width="12" style="15" customWidth="1"/>
  </cols>
  <sheetData>
    <row r="1" spans="2:9" ht="27.75" customHeight="1" x14ac:dyDescent="0.25">
      <c r="B1" s="3" t="s">
        <v>25</v>
      </c>
      <c r="C1" s="3"/>
      <c r="D1" s="3"/>
      <c r="E1" s="3"/>
      <c r="F1" s="3"/>
      <c r="G1" s="3"/>
      <c r="H1" s="3"/>
      <c r="I1" s="3"/>
    </row>
    <row r="2" spans="2:9" ht="21.75" customHeight="1" x14ac:dyDescent="0.25">
      <c r="B2" s="2" t="s">
        <v>26</v>
      </c>
      <c r="C2" s="2"/>
      <c r="D2" s="2"/>
      <c r="E2" s="2"/>
      <c r="F2" s="2"/>
      <c r="G2" s="2"/>
      <c r="H2" s="2"/>
      <c r="I2" s="2"/>
    </row>
    <row r="3" spans="2:9" ht="15" customHeight="1" x14ac:dyDescent="0.25">
      <c r="B3" s="16" t="s">
        <v>27</v>
      </c>
      <c r="C3" s="16" t="s">
        <v>28</v>
      </c>
      <c r="D3" s="16" t="s">
        <v>29</v>
      </c>
      <c r="E3" s="16" t="s">
        <v>30</v>
      </c>
      <c r="G3" s="1" t="s">
        <v>31</v>
      </c>
      <c r="H3" s="1"/>
      <c r="I3" s="1"/>
    </row>
    <row r="4" spans="2:9" ht="15.75" customHeight="1" x14ac:dyDescent="0.25">
      <c r="B4" s="17" t="s">
        <v>32</v>
      </c>
      <c r="C4" s="18">
        <v>1518500249</v>
      </c>
      <c r="D4" s="18" t="s">
        <v>33</v>
      </c>
      <c r="E4" s="19" t="s">
        <v>34</v>
      </c>
      <c r="G4" s="18" t="s">
        <v>35</v>
      </c>
      <c r="H4" s="18" t="s">
        <v>36</v>
      </c>
      <c r="I4" s="20" t="s">
        <v>37</v>
      </c>
    </row>
    <row r="5" spans="2:9" ht="15.75" customHeight="1" x14ac:dyDescent="0.25">
      <c r="B5" s="21" t="s">
        <v>38</v>
      </c>
      <c r="C5" s="18">
        <v>1859775393</v>
      </c>
      <c r="D5" s="18" t="s">
        <v>39</v>
      </c>
      <c r="E5" s="22" t="s">
        <v>40</v>
      </c>
      <c r="G5" s="18" t="s">
        <v>41</v>
      </c>
      <c r="H5" s="18" t="s">
        <v>42</v>
      </c>
      <c r="I5" s="20" t="s">
        <v>43</v>
      </c>
    </row>
    <row r="6" spans="2:9" ht="15.75" customHeight="1" x14ac:dyDescent="0.25">
      <c r="B6" s="23" t="s">
        <v>44</v>
      </c>
      <c r="C6" s="18">
        <v>2400959708</v>
      </c>
      <c r="D6" s="18" t="s">
        <v>45</v>
      </c>
      <c r="E6" s="24" t="s">
        <v>46</v>
      </c>
      <c r="G6" s="18" t="s">
        <v>47</v>
      </c>
      <c r="H6" s="18" t="s">
        <v>48</v>
      </c>
      <c r="I6" s="20" t="s">
        <v>49</v>
      </c>
    </row>
    <row r="7" spans="2:9" ht="15.75" customHeight="1" x14ac:dyDescent="0.25">
      <c r="B7" s="25" t="s">
        <v>50</v>
      </c>
      <c r="C7" s="18">
        <v>3395469782</v>
      </c>
      <c r="D7" s="18" t="s">
        <v>51</v>
      </c>
      <c r="E7" s="26" t="s">
        <v>40</v>
      </c>
      <c r="G7" s="18" t="s">
        <v>52</v>
      </c>
      <c r="H7" s="18" t="s">
        <v>53</v>
      </c>
      <c r="I7" s="20" t="s">
        <v>54</v>
      </c>
    </row>
    <row r="8" spans="2:9" ht="15.75" customHeight="1" x14ac:dyDescent="0.25">
      <c r="G8" s="18" t="s">
        <v>55</v>
      </c>
      <c r="H8" s="18" t="s">
        <v>56</v>
      </c>
      <c r="I8" s="20" t="s">
        <v>57</v>
      </c>
    </row>
  </sheetData>
  <mergeCells count="3">
    <mergeCell ref="B1:I1"/>
    <mergeCell ref="B2:I2"/>
    <mergeCell ref="G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7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3" style="15" customWidth="1"/>
    <col min="2" max="2" width="10" style="15" customWidth="1"/>
    <col min="3" max="7" width="11" style="15" customWidth="1"/>
    <col min="8" max="30" width="8" style="15" customWidth="1"/>
    <col min="31" max="57" width="5" style="15" customWidth="1"/>
    <col min="58" max="60" width="12" style="15" customWidth="1"/>
    <col min="61" max="79" width="5" style="15" customWidth="1"/>
  </cols>
  <sheetData>
    <row r="1" spans="2:58" ht="27.75" customHeight="1" x14ac:dyDescent="0.25">
      <c r="B1" s="3" t="s">
        <v>58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2:58" ht="25.5" customHeight="1" x14ac:dyDescent="0.25">
      <c r="B2" s="42" t="str">
        <f>LOWER(MID("0123456789abcdef",MOD(INT((MOD(INT(C86/256^3),256))/16),16)+1,1)&amp;MID("0123456789abcdef",MOD(MOD((MOD(INT(C86/256^3),256)),16),16)+1,1)&amp;MID("0123456789abcdef",MOD(INT((MOD(INT(C86/256^2),256))/16),16)+1,1)&amp;MID("0123456789abcdef",MOD(MOD((MOD(INT(C86/256^2),256)),16),16)+1,1)&amp;MID("0123456789abcdef",MOD(INT((MOD(INT(C86/256^1),256))/16),16)+1,1)&amp;MID("0123456789abcdef",MOD(MOD((MOD(INT(C86/256^1),256)),16),16)+1,1)&amp;MID("0123456789abcdef",MOD(INT((MOD(INT(C86/256^0),256))/16),16)+1,1)&amp;MID("0123456789abcdef",MOD(MOD((MOD(INT(C86/256^0),256)),16),16)+1,1)&amp;MID("0123456789abcdef",MOD(INT((MOD(INT(D86/256^3),256))/16),16)+1,1)&amp;MID("0123456789abcdef",MOD(MOD((MOD(INT(D86/256^3),256)),16),16)+1,1)&amp;MID("0123456789abcdef",MOD(INT((MOD(INT(D86/256^2),256))/16),16)+1,1)&amp;MID("0123456789abcdef",MOD(MOD((MOD(INT(D86/256^2),256)),16),16)+1,1)&amp;MID("0123456789abcdef",MOD(INT((MOD(INT(D86/256^1),256))/16),16)+1,1)&amp;MID("0123456789abcdef",MOD(MOD((MOD(INT(D86/256^1),256)),16),16)+1,1)&amp;MID("0123456789abcdef",MOD(INT((MOD(INT(D86/256^0),256))/16),16)+1,1)&amp;MID("0123456789abcdef",MOD(MOD((MOD(INT(D86/256^0),256)),16),16)+1,1)&amp;MID("0123456789abcdef",MOD(INT((MOD(INT(E86/256^3),256))/16),16)+1,1)&amp;MID("0123456789abcdef",MOD(MOD((MOD(INT(E86/256^3),256)),16),16)+1,1)&amp;MID("0123456789abcdef",MOD(INT((MOD(INT(E86/256^2),256))/16),16)+1,1)&amp;MID("0123456789abcdef",MOD(MOD((MOD(INT(E86/256^2),256)),16),16)+1,1)&amp;MID("0123456789abcdef",MOD(INT((MOD(INT(E86/256^1),256))/16),16)+1,1)&amp;MID("0123456789abcdef",MOD(MOD((MOD(INT(E86/256^1),256)),16),16)+1,1)&amp;MID("0123456789abcdef",MOD(INT((MOD(INT(E86/256^0),256))/16),16)+1,1)&amp;MID("0123456789abcdef",MOD(MOD((MOD(INT(E86/256^0),256)),16),16)+1,1)&amp;MID("0123456789abcdef",MOD(INT((MOD(INT(F86/256^3),256))/16),16)+1,1)&amp;MID("0123456789abcdef",MOD(MOD((MOD(INT(F86/256^3),256)),16),16)+1,1)&amp;MID("0123456789abcdef",MOD(INT((MOD(INT(F86/256^2),256))/16),16)+1,1)&amp;MID("0123456789abcdef",MOD(MOD((MOD(INT(F86/256^2),256)),16),16)+1,1)&amp;MID("0123456789abcdef",MOD(INT((MOD(INT(F86/256^1),256))/16),16)+1,1)&amp;MID("0123456789abcdef",MOD(MOD((MOD(INT(F86/256^1),256)),16),16)+1,1)&amp;MID("0123456789abcdef",MOD(INT((MOD(INT(F86/256^0),256))/16),16)+1,1)&amp;MID("0123456789abcdef",MOD(MOD((MOD(INT(F86/256^0),256)),16),16)+1,1)&amp;MID("0123456789abcdef",MOD(INT((MOD(INT(G86/256^3),256))/16),16)+1,1)&amp;MID("0123456789abcdef",MOD(MOD((MOD(INT(G86/256^3),256)),16),16)+1,1)&amp;MID("0123456789abcdef",MOD(INT((MOD(INT(G86/256^2),256))/16),16)+1,1)&amp;MID("0123456789abcdef",MOD(MOD((MOD(INT(G86/256^2),256)),16),16)+1,1)&amp;MID("0123456789abcdef",MOD(INT((MOD(INT(G86/256^1),256))/16),16)+1,1)&amp;MID("0123456789abcdef",MOD(MOD((MOD(INT(G86/256^1),256)),16),16)+1,1)&amp;MID("0123456789abcdef",MOD(INT((MOD(INT(G86/256^0),256))/16),16)+1,1)&amp;MID("0123456789abcdef",MOD(MOD((MOD(INT(G86/256^0),256)),16),16)+1,1))</f>
        <v>aaf4c61ddcc5e8a2dabede0f3b482cd9aea9434d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</row>
    <row r="3" spans="2:58" ht="21.75" customHeight="1" x14ac:dyDescent="0.25">
      <c r="B3" s="43" t="s">
        <v>59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</row>
    <row r="4" spans="2:58" ht="19.5" customHeight="1" x14ac:dyDescent="0.25">
      <c r="B4" s="16" t="s">
        <v>60</v>
      </c>
      <c r="C4" s="16" t="s">
        <v>61</v>
      </c>
      <c r="D4" s="16" t="s">
        <v>62</v>
      </c>
      <c r="E4" s="16" t="s">
        <v>63</v>
      </c>
      <c r="F4" s="16" t="s">
        <v>64</v>
      </c>
      <c r="G4" s="16" t="s">
        <v>65</v>
      </c>
      <c r="H4" s="27" t="s">
        <v>66</v>
      </c>
      <c r="I4" s="27" t="s">
        <v>67</v>
      </c>
      <c r="J4" s="27" t="s">
        <v>68</v>
      </c>
      <c r="K4" s="27" t="s">
        <v>69</v>
      </c>
      <c r="L4" s="27" t="s">
        <v>70</v>
      </c>
      <c r="M4" s="27" t="s">
        <v>71</v>
      </c>
      <c r="N4" s="27" t="s">
        <v>72</v>
      </c>
      <c r="O4" s="27" t="s">
        <v>73</v>
      </c>
      <c r="P4" s="27" t="s">
        <v>74</v>
      </c>
      <c r="BF4" s="27" t="s">
        <v>75</v>
      </c>
    </row>
    <row r="5" spans="2:58" ht="13.5" customHeight="1" x14ac:dyDescent="0.25">
      <c r="B5" s="16" t="s">
        <v>76</v>
      </c>
      <c r="C5" s="28">
        <v>1732584193</v>
      </c>
      <c r="D5" s="28">
        <v>4023233417</v>
      </c>
      <c r="E5" s="28">
        <v>2562383102</v>
      </c>
      <c r="F5" s="28">
        <v>271733878</v>
      </c>
      <c r="G5" s="28">
        <v>3285377520</v>
      </c>
    </row>
    <row r="6" spans="2:58" ht="13.5" customHeight="1" x14ac:dyDescent="0.25">
      <c r="B6" s="29">
        <v>1</v>
      </c>
      <c r="C6" s="30">
        <f t="shared" ref="C6:C25" si="0">MOD(H6+L6+G5+1518500249+BF200,4294967296)</f>
        <v>135922975</v>
      </c>
      <c r="D6" s="30">
        <f t="shared" ref="D6:D37" si="1">C5</f>
        <v>1732584193</v>
      </c>
      <c r="E6" s="30">
        <f t="shared" ref="E6:E37" si="2">P6</f>
        <v>2079550178</v>
      </c>
      <c r="F6" s="30">
        <f t="shared" ref="F6:G25" si="3">E5</f>
        <v>2562383102</v>
      </c>
      <c r="G6" s="30">
        <f t="shared" si="3"/>
        <v>271733878</v>
      </c>
      <c r="H6" s="31">
        <f t="shared" ref="H6:H37" si="4">MOD(MOD(C5,2^27)*2^5+INT(C5/2^27),4294967296)</f>
        <v>3903086636</v>
      </c>
      <c r="I6" s="31">
        <f t="shared" ref="I6:I37" si="5">((MOD(INT(MOD(INT((D5)/1),256)/2^0),2)*MOD(INT(MOD(INT((E5)/1),256)/2^0),2)*1+MOD(INT(MOD(INT((D5)/1),256)/2^1),2)*MOD(INT(MOD(INT((E5)/1),256)/2^1),2)*2+MOD(INT(MOD(INT((D5)/1),256)/2^2),2)*MOD(INT(MOD(INT((E5)/1),256)/2^2),2)*4+MOD(INT(MOD(INT((D5)/1),256)/2^3),2)*MOD(INT(MOD(INT((E5)/1),256)/2^3),2)*8+MOD(INT(MOD(INT((D5)/1),256)/2^4),2)*MOD(INT(MOD(INT((E5)/1),256)/2^4),2)*16+MOD(INT(MOD(INT((D5)/1),256)/2^5),2)*MOD(INT(MOD(INT((E5)/1),256)/2^5),2)*32+MOD(INT(MOD(INT((D5)/1),256)/2^6),2)*MOD(INT(MOD(INT((E5)/1),256)/2^6),2)*64+MOD(INT(MOD(INT((D5)/1),256)/2^7),2)*MOD(INT(MOD(INT((E5)/1),256)/2^7),2)*128)*1+(MOD(INT(MOD(INT((D5)/256),256)/2^0),2)*MOD(INT(MOD(INT((E5)/256),256)/2^0),2)*1+MOD(INT(MOD(INT((D5)/256),256)/2^1),2)*MOD(INT(MOD(INT((E5)/256),256)/2^1),2)*2+MOD(INT(MOD(INT((D5)/256),256)/2^2),2)*MOD(INT(MOD(INT((E5)/256),256)/2^2),2)*4+MOD(INT(MOD(INT((D5)/256),256)/2^3),2)*MOD(INT(MOD(INT((E5)/256),256)/2^3),2)*8+MOD(INT(MOD(INT((D5)/256),256)/2^4),2)*MOD(INT(MOD(INT((E5)/256),256)/2^4),2)*16+MOD(INT(MOD(INT((D5)/256),256)/2^5),2)*MOD(INT(MOD(INT((E5)/256),256)/2^5),2)*32+MOD(INT(MOD(INT((D5)/256),256)/2^6),2)*MOD(INT(MOD(INT((E5)/256),256)/2^6),2)*64+MOD(INT(MOD(INT((D5)/256),256)/2^7),2)*MOD(INT(MOD(INT((E5)/256),256)/2^7),2)*128)*256+(MOD(INT(MOD(INT((D5)/65536),256)/2^0),2)*MOD(INT(MOD(INT((E5)/65536),256)/2^0),2)*1+MOD(INT(MOD(INT((D5)/65536),256)/2^1),2)*MOD(INT(MOD(INT((E5)/65536),256)/2^1),2)*2+MOD(INT(MOD(INT((D5)/65536),256)/2^2),2)*MOD(INT(MOD(INT((E5)/65536),256)/2^2),2)*4+MOD(INT(MOD(INT((D5)/65536),256)/2^3),2)*MOD(INT(MOD(INT((E5)/65536),256)/2^3),2)*8+MOD(INT(MOD(INT((D5)/65536),256)/2^4),2)*MOD(INT(MOD(INT((E5)/65536),256)/2^4),2)*16+MOD(INT(MOD(INT((D5)/65536),256)/2^5),2)*MOD(INT(MOD(INT((E5)/65536),256)/2^5),2)*32+MOD(INT(MOD(INT((D5)/65536),256)/2^6),2)*MOD(INT(MOD(INT((E5)/65536),256)/2^6),2)*64+MOD(INT(MOD(INT((D5)/65536),256)/2^7),2)*MOD(INT(MOD(INT((E5)/65536),256)/2^7),2)*128)*65536+(MOD(INT(MOD(INT((D5)/16777216),256)/2^0),2)*MOD(INT(MOD(INT((E5)/16777216),256)/2^0),2)*1+MOD(INT(MOD(INT((D5)/16777216),256)/2^1),2)*MOD(INT(MOD(INT((E5)/16777216),256)/2^1),2)*2+MOD(INT(MOD(INT((D5)/16777216),256)/2^2),2)*MOD(INT(MOD(INT((E5)/16777216),256)/2^2),2)*4+MOD(INT(MOD(INT((D5)/16777216),256)/2^3),2)*MOD(INT(MOD(INT((E5)/16777216),256)/2^3),2)*8+MOD(INT(MOD(INT((D5)/16777216),256)/2^4),2)*MOD(INT(MOD(INT((E5)/16777216),256)/2^4),2)*16+MOD(INT(MOD(INT((D5)/16777216),256)/2^5),2)*MOD(INT(MOD(INT((E5)/16777216),256)/2^5),2)*32+MOD(INT(MOD(INT((D5)/16777216),256)/2^6),2)*MOD(INT(MOD(INT((E5)/16777216),256)/2^6),2)*64+MOD(INT(MOD(INT((D5)/16777216),256)/2^7),2)*MOD(INT(MOD(INT((E5)/16777216),256)/2^7),2)*128)*16777216)</f>
        <v>2290649224</v>
      </c>
      <c r="J6" s="31">
        <f t="shared" ref="J6:J25" si="6">((MOD(INT(MOD(INT(((4294967295-D5))/1),256)/2^0),2)*MOD(INT(MOD(INT((F5)/1),256)/2^0),2)*1+MOD(INT(MOD(INT(((4294967295-D5))/1),256)/2^1),2)*MOD(INT(MOD(INT((F5)/1),256)/2^1),2)*2+MOD(INT(MOD(INT(((4294967295-D5))/1),256)/2^2),2)*MOD(INT(MOD(INT((F5)/1),256)/2^2),2)*4+MOD(INT(MOD(INT(((4294967295-D5))/1),256)/2^3),2)*MOD(INT(MOD(INT((F5)/1),256)/2^3),2)*8+MOD(INT(MOD(INT(((4294967295-D5))/1),256)/2^4),2)*MOD(INT(MOD(INT((F5)/1),256)/2^4),2)*16+MOD(INT(MOD(INT(((4294967295-D5))/1),256)/2^5),2)*MOD(INT(MOD(INT((F5)/1),256)/2^5),2)*32+MOD(INT(MOD(INT(((4294967295-D5))/1),256)/2^6),2)*MOD(INT(MOD(INT((F5)/1),256)/2^6),2)*64+MOD(INT(MOD(INT(((4294967295-D5))/1),256)/2^7),2)*MOD(INT(MOD(INT((F5)/1),256)/2^7),2)*128)*1+(MOD(INT(MOD(INT(((4294967295-D5))/256),256)/2^0),2)*MOD(INT(MOD(INT((F5)/256),256)/2^0),2)*1+MOD(INT(MOD(INT(((4294967295-D5))/256),256)/2^1),2)*MOD(INT(MOD(INT((F5)/256),256)/2^1),2)*2+MOD(INT(MOD(INT(((4294967295-D5))/256),256)/2^2),2)*MOD(INT(MOD(INT((F5)/256),256)/2^2),2)*4+MOD(INT(MOD(INT(((4294967295-D5))/256),256)/2^3),2)*MOD(INT(MOD(INT((F5)/256),256)/2^3),2)*8+MOD(INT(MOD(INT(((4294967295-D5))/256),256)/2^4),2)*MOD(INT(MOD(INT((F5)/256),256)/2^4),2)*16+MOD(INT(MOD(INT(((4294967295-D5))/256),256)/2^5),2)*MOD(INT(MOD(INT((F5)/256),256)/2^5),2)*32+MOD(INT(MOD(INT(((4294967295-D5))/256),256)/2^6),2)*MOD(INT(MOD(INT((F5)/256),256)/2^6),2)*64+MOD(INT(MOD(INT(((4294967295-D5))/256),256)/2^7),2)*MOD(INT(MOD(INT((F5)/256),256)/2^7),2)*128)*256+(MOD(INT(MOD(INT(((4294967295-D5))/65536),256)/2^0),2)*MOD(INT(MOD(INT((F5)/65536),256)/2^0),2)*1+MOD(INT(MOD(INT(((4294967295-D5))/65536),256)/2^1),2)*MOD(INT(MOD(INT((F5)/65536),256)/2^1),2)*2+MOD(INT(MOD(INT(((4294967295-D5))/65536),256)/2^2),2)*MOD(INT(MOD(INT((F5)/65536),256)/2^2),2)*4+MOD(INT(MOD(INT(((4294967295-D5))/65536),256)/2^3),2)*MOD(INT(MOD(INT((F5)/65536),256)/2^3),2)*8+MOD(INT(MOD(INT(((4294967295-D5))/65536),256)/2^4),2)*MOD(INT(MOD(INT((F5)/65536),256)/2^4),2)*16+MOD(INT(MOD(INT(((4294967295-D5))/65536),256)/2^5),2)*MOD(INT(MOD(INT((F5)/65536),256)/2^5),2)*32+MOD(INT(MOD(INT(((4294967295-D5))/65536),256)/2^6),2)*MOD(INT(MOD(INT((F5)/65536),256)/2^6),2)*64+MOD(INT(MOD(INT(((4294967295-D5))/65536),256)/2^7),2)*MOD(INT(MOD(INT((F5)/65536),256)/2^7),2)*128)*65536+(MOD(INT(MOD(INT(((4294967295-D5))/16777216),256)/2^0),2)*MOD(INT(MOD(INT((F5)/16777216),256)/2^0),2)*1+MOD(INT(MOD(INT(((4294967295-D5))/16777216),256)/2^1),2)*MOD(INT(MOD(INT((F5)/16777216),256)/2^1),2)*2+MOD(INT(MOD(INT(((4294967295-D5))/16777216),256)/2^2),2)*MOD(INT(MOD(INT((F5)/16777216),256)/2^2),2)*4+MOD(INT(MOD(INT(((4294967295-D5))/16777216),256)/2^3),2)*MOD(INT(MOD(INT((F5)/16777216),256)/2^3),2)*8+MOD(INT(MOD(INT(((4294967295-D5))/16777216),256)/2^4),2)*MOD(INT(MOD(INT((F5)/16777216),256)/2^4),2)*16+MOD(INT(MOD(INT(((4294967295-D5))/16777216),256)/2^5),2)*MOD(INT(MOD(INT((F5)/16777216),256)/2^5),2)*32+MOD(INT(MOD(INT(((4294967295-D5))/16777216),256)/2^6),2)*MOD(INT(MOD(INT((F5)/16777216),256)/2^6),2)*64+MOD(INT(MOD(INT(((4294967295-D5))/16777216),256)/2^7),2)*MOD(INT(MOD(INT((F5)/16777216),256)/2^7),2)*128)*16777216)</f>
        <v>271733878</v>
      </c>
      <c r="K6" s="31">
        <f>0</f>
        <v>0</v>
      </c>
      <c r="L6" s="31">
        <f t="shared" ref="L6:L25" si="7">MOD(I6+J6,4294967296)</f>
        <v>2562383102</v>
      </c>
      <c r="P6" s="31">
        <f t="shared" ref="P6:P37" si="8">MOD(MOD(D5,2^2)*2^30+INT(D5/2^2),4294967296)</f>
        <v>2079550178</v>
      </c>
    </row>
    <row r="7" spans="2:58" ht="13.5" customHeight="1" x14ac:dyDescent="0.25">
      <c r="B7" s="29">
        <v>2</v>
      </c>
      <c r="C7" s="30">
        <f t="shared" si="0"/>
        <v>3648090350</v>
      </c>
      <c r="D7" s="30">
        <f t="shared" si="1"/>
        <v>135922975</v>
      </c>
      <c r="E7" s="30">
        <f t="shared" si="2"/>
        <v>1506887872</v>
      </c>
      <c r="F7" s="30">
        <f t="shared" si="3"/>
        <v>2079550178</v>
      </c>
      <c r="G7" s="30">
        <f t="shared" si="3"/>
        <v>2562383102</v>
      </c>
      <c r="H7" s="31">
        <f t="shared" si="4"/>
        <v>54567905</v>
      </c>
      <c r="I7" s="31">
        <f t="shared" si="5"/>
        <v>1665212928</v>
      </c>
      <c r="J7" s="31">
        <f t="shared" si="6"/>
        <v>2562383102</v>
      </c>
      <c r="K7" s="31">
        <f>0</f>
        <v>0</v>
      </c>
      <c r="L7" s="31">
        <f t="shared" si="7"/>
        <v>4227596030</v>
      </c>
      <c r="P7" s="31">
        <f t="shared" si="8"/>
        <v>1506887872</v>
      </c>
    </row>
    <row r="8" spans="2:58" ht="13.5" customHeight="1" x14ac:dyDescent="0.25">
      <c r="B8" s="29">
        <v>3</v>
      </c>
      <c r="C8" s="30">
        <f t="shared" si="0"/>
        <v>2640109394</v>
      </c>
      <c r="D8" s="30">
        <f t="shared" si="1"/>
        <v>3648090350</v>
      </c>
      <c r="E8" s="30">
        <f t="shared" si="2"/>
        <v>3255206215</v>
      </c>
      <c r="F8" s="30">
        <f t="shared" si="3"/>
        <v>1506887872</v>
      </c>
      <c r="G8" s="30">
        <f t="shared" si="3"/>
        <v>2079550178</v>
      </c>
      <c r="H8" s="31">
        <f t="shared" si="4"/>
        <v>774774235</v>
      </c>
      <c r="I8" s="31">
        <f t="shared" si="5"/>
        <v>135266304</v>
      </c>
      <c r="J8" s="31">
        <f t="shared" si="6"/>
        <v>1944152800</v>
      </c>
      <c r="K8" s="31">
        <f>0</f>
        <v>0</v>
      </c>
      <c r="L8" s="31">
        <f t="shared" si="7"/>
        <v>2079419104</v>
      </c>
      <c r="P8" s="31">
        <f t="shared" si="8"/>
        <v>3255206215</v>
      </c>
    </row>
    <row r="9" spans="2:58" ht="13.5" customHeight="1" x14ac:dyDescent="0.25">
      <c r="B9" s="29">
        <v>4</v>
      </c>
      <c r="C9" s="30">
        <f t="shared" si="0"/>
        <v>1116854036</v>
      </c>
      <c r="D9" s="30">
        <f t="shared" si="1"/>
        <v>2640109394</v>
      </c>
      <c r="E9" s="30">
        <f t="shared" si="2"/>
        <v>3059506235</v>
      </c>
      <c r="F9" s="30">
        <f t="shared" si="3"/>
        <v>3255206215</v>
      </c>
      <c r="G9" s="30">
        <f t="shared" si="3"/>
        <v>1506887872</v>
      </c>
      <c r="H9" s="31">
        <f t="shared" si="4"/>
        <v>2879122003</v>
      </c>
      <c r="I9" s="31">
        <f t="shared" si="5"/>
        <v>3221225542</v>
      </c>
      <c r="J9" s="31">
        <f t="shared" si="6"/>
        <v>8390656</v>
      </c>
      <c r="K9" s="31">
        <f>0</f>
        <v>0</v>
      </c>
      <c r="L9" s="31">
        <f t="shared" si="7"/>
        <v>3229616198</v>
      </c>
      <c r="P9" s="31">
        <f t="shared" si="8"/>
        <v>3059506235</v>
      </c>
    </row>
    <row r="10" spans="2:58" ht="13.5" customHeight="1" x14ac:dyDescent="0.25">
      <c r="B10" s="29">
        <v>5</v>
      </c>
      <c r="C10" s="30">
        <f t="shared" si="0"/>
        <v>3706519800</v>
      </c>
      <c r="D10" s="30">
        <f t="shared" si="1"/>
        <v>1116854036</v>
      </c>
      <c r="E10" s="30">
        <f t="shared" si="2"/>
        <v>2807510996</v>
      </c>
      <c r="F10" s="30">
        <f t="shared" si="3"/>
        <v>3059506235</v>
      </c>
      <c r="G10" s="30">
        <f t="shared" si="3"/>
        <v>3255206215</v>
      </c>
      <c r="H10" s="31">
        <f t="shared" si="4"/>
        <v>1379590792</v>
      </c>
      <c r="I10" s="31">
        <f t="shared" si="5"/>
        <v>2489080850</v>
      </c>
      <c r="J10" s="31">
        <f t="shared" si="6"/>
        <v>1107427333</v>
      </c>
      <c r="K10" s="31">
        <f>0</f>
        <v>0</v>
      </c>
      <c r="L10" s="31">
        <f t="shared" si="7"/>
        <v>3596508183</v>
      </c>
      <c r="P10" s="31">
        <f t="shared" si="8"/>
        <v>2807510996</v>
      </c>
    </row>
    <row r="11" spans="2:58" ht="13.5" customHeight="1" x14ac:dyDescent="0.25">
      <c r="B11" s="29">
        <v>6</v>
      </c>
      <c r="C11" s="30">
        <f t="shared" si="0"/>
        <v>1887844666</v>
      </c>
      <c r="D11" s="30">
        <f t="shared" si="1"/>
        <v>3706519800</v>
      </c>
      <c r="E11" s="30">
        <f t="shared" si="2"/>
        <v>279213509</v>
      </c>
      <c r="F11" s="30">
        <f t="shared" si="3"/>
        <v>2807510996</v>
      </c>
      <c r="G11" s="30">
        <f t="shared" si="3"/>
        <v>3059506235</v>
      </c>
      <c r="H11" s="31">
        <f t="shared" si="4"/>
        <v>2644516635</v>
      </c>
      <c r="I11" s="31">
        <f t="shared" si="5"/>
        <v>34674452</v>
      </c>
      <c r="J11" s="31">
        <f t="shared" si="6"/>
        <v>3024881707</v>
      </c>
      <c r="K11" s="31">
        <f>0</f>
        <v>0</v>
      </c>
      <c r="L11" s="31">
        <f t="shared" si="7"/>
        <v>3059556159</v>
      </c>
      <c r="P11" s="31">
        <f t="shared" si="8"/>
        <v>279213509</v>
      </c>
    </row>
    <row r="12" spans="2:58" ht="13.5" customHeight="1" x14ac:dyDescent="0.25">
      <c r="B12" s="29">
        <v>7</v>
      </c>
      <c r="C12" s="30">
        <f t="shared" si="0"/>
        <v>1432106214</v>
      </c>
      <c r="D12" s="30">
        <f t="shared" si="1"/>
        <v>1887844666</v>
      </c>
      <c r="E12" s="30">
        <f t="shared" si="2"/>
        <v>926629950</v>
      </c>
      <c r="F12" s="30">
        <f t="shared" si="3"/>
        <v>279213509</v>
      </c>
      <c r="G12" s="30">
        <f t="shared" si="3"/>
        <v>2807510996</v>
      </c>
      <c r="H12" s="31">
        <f t="shared" si="4"/>
        <v>281487182</v>
      </c>
      <c r="I12" s="31">
        <f t="shared" si="5"/>
        <v>279183552</v>
      </c>
      <c r="J12" s="31">
        <f t="shared" si="6"/>
        <v>588396292</v>
      </c>
      <c r="K12" s="31">
        <f>0</f>
        <v>0</v>
      </c>
      <c r="L12" s="31">
        <f t="shared" si="7"/>
        <v>867579844</v>
      </c>
      <c r="P12" s="31">
        <f t="shared" si="8"/>
        <v>926629950</v>
      </c>
    </row>
    <row r="13" spans="2:58" ht="13.5" customHeight="1" x14ac:dyDescent="0.25">
      <c r="B13" s="29">
        <v>8</v>
      </c>
      <c r="C13" s="30">
        <f t="shared" si="0"/>
        <v>3716322102</v>
      </c>
      <c r="D13" s="30">
        <f t="shared" si="1"/>
        <v>1432106214</v>
      </c>
      <c r="E13" s="30">
        <f t="shared" si="2"/>
        <v>2619444814</v>
      </c>
      <c r="F13" s="30">
        <f t="shared" si="3"/>
        <v>926629950</v>
      </c>
      <c r="G13" s="30">
        <f t="shared" si="3"/>
        <v>279213509</v>
      </c>
      <c r="H13" s="31">
        <f t="shared" si="4"/>
        <v>2877725898</v>
      </c>
      <c r="I13" s="31">
        <f t="shared" si="5"/>
        <v>805437498</v>
      </c>
      <c r="J13" s="31">
        <f t="shared" si="6"/>
        <v>2114757</v>
      </c>
      <c r="K13" s="31">
        <f>0</f>
        <v>0</v>
      </c>
      <c r="L13" s="31">
        <f t="shared" si="7"/>
        <v>807552255</v>
      </c>
      <c r="P13" s="31">
        <f t="shared" si="8"/>
        <v>2619444814</v>
      </c>
    </row>
    <row r="14" spans="2:58" ht="13.5" customHeight="1" x14ac:dyDescent="0.25">
      <c r="B14" s="29">
        <v>9</v>
      </c>
      <c r="C14" s="30">
        <f t="shared" si="0"/>
        <v>1369217687</v>
      </c>
      <c r="D14" s="30">
        <f t="shared" si="1"/>
        <v>3716322102</v>
      </c>
      <c r="E14" s="30">
        <f t="shared" si="2"/>
        <v>2505510201</v>
      </c>
      <c r="F14" s="30">
        <f t="shared" si="3"/>
        <v>2619444814</v>
      </c>
      <c r="G14" s="30">
        <f t="shared" si="3"/>
        <v>926629950</v>
      </c>
      <c r="H14" s="31">
        <f t="shared" si="4"/>
        <v>2958190299</v>
      </c>
      <c r="I14" s="31">
        <f t="shared" si="5"/>
        <v>335545414</v>
      </c>
      <c r="J14" s="31">
        <f t="shared" si="6"/>
        <v>572735512</v>
      </c>
      <c r="K14" s="31">
        <f>0</f>
        <v>0</v>
      </c>
      <c r="L14" s="31">
        <f t="shared" si="7"/>
        <v>908280926</v>
      </c>
      <c r="P14" s="31">
        <f t="shared" si="8"/>
        <v>2505510201</v>
      </c>
    </row>
    <row r="15" spans="2:58" ht="13.5" customHeight="1" x14ac:dyDescent="0.25">
      <c r="B15" s="29">
        <v>10</v>
      </c>
      <c r="C15" s="30">
        <f t="shared" si="0"/>
        <v>1517558329</v>
      </c>
      <c r="D15" s="30">
        <f t="shared" si="1"/>
        <v>1369217687</v>
      </c>
      <c r="E15" s="30">
        <f t="shared" si="2"/>
        <v>3076564173</v>
      </c>
      <c r="F15" s="30">
        <f t="shared" si="3"/>
        <v>2505510201</v>
      </c>
      <c r="G15" s="30">
        <f t="shared" si="3"/>
        <v>2619444814</v>
      </c>
      <c r="H15" s="31">
        <f t="shared" si="4"/>
        <v>865293034</v>
      </c>
      <c r="I15" s="31">
        <f t="shared" si="5"/>
        <v>2499936560</v>
      </c>
      <c r="J15" s="31">
        <f t="shared" si="6"/>
        <v>2165832</v>
      </c>
      <c r="K15" s="31">
        <f>0</f>
        <v>0</v>
      </c>
      <c r="L15" s="31">
        <f t="shared" si="7"/>
        <v>2502102392</v>
      </c>
      <c r="P15" s="31">
        <f t="shared" si="8"/>
        <v>3076564173</v>
      </c>
    </row>
    <row r="16" spans="2:58" ht="13.5" customHeight="1" x14ac:dyDescent="0.25">
      <c r="B16" s="29">
        <v>11</v>
      </c>
      <c r="C16" s="30">
        <f t="shared" si="0"/>
        <v>3664434367</v>
      </c>
      <c r="D16" s="30">
        <f t="shared" si="1"/>
        <v>1517558329</v>
      </c>
      <c r="E16" s="30">
        <f t="shared" si="2"/>
        <v>3563529893</v>
      </c>
      <c r="F16" s="30">
        <f t="shared" si="3"/>
        <v>3076564173</v>
      </c>
      <c r="G16" s="30">
        <f t="shared" si="3"/>
        <v>2505510201</v>
      </c>
      <c r="H16" s="31">
        <f t="shared" si="4"/>
        <v>1317226283</v>
      </c>
      <c r="I16" s="31">
        <f t="shared" si="5"/>
        <v>285245573</v>
      </c>
      <c r="J16" s="31">
        <f t="shared" si="6"/>
        <v>2218984744</v>
      </c>
      <c r="K16" s="31">
        <f>0</f>
        <v>0</v>
      </c>
      <c r="L16" s="31">
        <f t="shared" si="7"/>
        <v>2504230317</v>
      </c>
      <c r="P16" s="31">
        <f t="shared" si="8"/>
        <v>3563529893</v>
      </c>
    </row>
    <row r="17" spans="2:16" ht="13.5" customHeight="1" x14ac:dyDescent="0.25">
      <c r="B17" s="29">
        <v>12</v>
      </c>
      <c r="C17" s="30">
        <f t="shared" si="0"/>
        <v>848872882</v>
      </c>
      <c r="D17" s="30">
        <f t="shared" si="1"/>
        <v>3664434367</v>
      </c>
      <c r="E17" s="30">
        <f t="shared" si="2"/>
        <v>1453131406</v>
      </c>
      <c r="F17" s="30">
        <f t="shared" si="3"/>
        <v>3563529893</v>
      </c>
      <c r="G17" s="30">
        <f t="shared" si="3"/>
        <v>3076564173</v>
      </c>
      <c r="H17" s="31">
        <f t="shared" si="4"/>
        <v>1297782779</v>
      </c>
      <c r="I17" s="31">
        <f t="shared" si="5"/>
        <v>1348731425</v>
      </c>
      <c r="J17" s="31">
        <f t="shared" si="6"/>
        <v>2768282820</v>
      </c>
      <c r="K17" s="31">
        <f>0</f>
        <v>0</v>
      </c>
      <c r="L17" s="31">
        <f t="shared" si="7"/>
        <v>4117014245</v>
      </c>
      <c r="P17" s="31">
        <f t="shared" si="8"/>
        <v>1453131406</v>
      </c>
    </row>
    <row r="18" spans="2:16" ht="13.5" customHeight="1" x14ac:dyDescent="0.25">
      <c r="B18" s="29">
        <v>13</v>
      </c>
      <c r="C18" s="30">
        <f t="shared" si="0"/>
        <v>3137927994</v>
      </c>
      <c r="D18" s="30">
        <f t="shared" si="1"/>
        <v>848872882</v>
      </c>
      <c r="E18" s="30">
        <f t="shared" si="2"/>
        <v>4137334063</v>
      </c>
      <c r="F18" s="30">
        <f t="shared" si="3"/>
        <v>1453131406</v>
      </c>
      <c r="G18" s="30">
        <f t="shared" si="3"/>
        <v>3563529893</v>
      </c>
      <c r="H18" s="31">
        <f t="shared" si="4"/>
        <v>1394128454</v>
      </c>
      <c r="I18" s="31">
        <f t="shared" si="5"/>
        <v>1376257166</v>
      </c>
      <c r="J18" s="31">
        <f t="shared" si="6"/>
        <v>67445248</v>
      </c>
      <c r="K18" s="31">
        <f>0</f>
        <v>0</v>
      </c>
      <c r="L18" s="31">
        <f t="shared" si="7"/>
        <v>1443702414</v>
      </c>
      <c r="P18" s="31">
        <f t="shared" si="8"/>
        <v>4137334063</v>
      </c>
    </row>
    <row r="19" spans="2:16" ht="13.5" customHeight="1" x14ac:dyDescent="0.25">
      <c r="B19" s="29">
        <v>14</v>
      </c>
      <c r="C19" s="30">
        <f t="shared" si="0"/>
        <v>111578819</v>
      </c>
      <c r="D19" s="30">
        <f t="shared" si="1"/>
        <v>3137927994</v>
      </c>
      <c r="E19" s="30">
        <f t="shared" si="2"/>
        <v>2359701868</v>
      </c>
      <c r="F19" s="30">
        <f t="shared" si="3"/>
        <v>4137334063</v>
      </c>
      <c r="G19" s="30">
        <f t="shared" si="3"/>
        <v>1453131406</v>
      </c>
      <c r="H19" s="31">
        <f t="shared" si="4"/>
        <v>1629448023</v>
      </c>
      <c r="I19" s="31">
        <f t="shared" si="5"/>
        <v>848856354</v>
      </c>
      <c r="J19" s="31">
        <f t="shared" si="6"/>
        <v>1141178892</v>
      </c>
      <c r="K19" s="31">
        <f>0</f>
        <v>0</v>
      </c>
      <c r="L19" s="31">
        <f t="shared" si="7"/>
        <v>1990035246</v>
      </c>
      <c r="P19" s="31">
        <f t="shared" si="8"/>
        <v>2359701868</v>
      </c>
    </row>
    <row r="20" spans="2:16" ht="13.5" customHeight="1" x14ac:dyDescent="0.25">
      <c r="B20" s="29">
        <v>15</v>
      </c>
      <c r="C20" s="30">
        <f t="shared" si="0"/>
        <v>1384353204</v>
      </c>
      <c r="D20" s="30">
        <f t="shared" si="1"/>
        <v>111578819</v>
      </c>
      <c r="E20" s="30">
        <f t="shared" si="2"/>
        <v>2931965646</v>
      </c>
      <c r="F20" s="30">
        <f t="shared" si="3"/>
        <v>2359701868</v>
      </c>
      <c r="G20" s="30">
        <f t="shared" si="3"/>
        <v>4137334063</v>
      </c>
      <c r="H20" s="31">
        <f t="shared" si="4"/>
        <v>3570522208</v>
      </c>
      <c r="I20" s="31">
        <f t="shared" si="5"/>
        <v>2281713960</v>
      </c>
      <c r="J20" s="31">
        <f t="shared" si="6"/>
        <v>1150419973</v>
      </c>
      <c r="K20" s="31">
        <f>0</f>
        <v>0</v>
      </c>
      <c r="L20" s="31">
        <f t="shared" si="7"/>
        <v>3432133933</v>
      </c>
      <c r="P20" s="31">
        <f t="shared" si="8"/>
        <v>2931965646</v>
      </c>
    </row>
    <row r="21" spans="2:16" ht="13.5" customHeight="1" x14ac:dyDescent="0.25">
      <c r="B21" s="29">
        <v>16</v>
      </c>
      <c r="C21" s="30">
        <f t="shared" si="0"/>
        <v>806430056</v>
      </c>
      <c r="D21" s="30">
        <f t="shared" si="1"/>
        <v>1384353204</v>
      </c>
      <c r="E21" s="30">
        <f t="shared" si="2"/>
        <v>3249120176</v>
      </c>
      <c r="F21" s="30">
        <f t="shared" si="3"/>
        <v>2931965646</v>
      </c>
      <c r="G21" s="30">
        <f t="shared" si="3"/>
        <v>2359701868</v>
      </c>
      <c r="H21" s="31">
        <f t="shared" si="4"/>
        <v>1349629578</v>
      </c>
      <c r="I21" s="31">
        <f t="shared" si="5"/>
        <v>109186754</v>
      </c>
      <c r="J21" s="31">
        <f t="shared" si="6"/>
        <v>2281713964</v>
      </c>
      <c r="K21" s="31">
        <f>0</f>
        <v>0</v>
      </c>
      <c r="L21" s="31">
        <f t="shared" si="7"/>
        <v>2390900718</v>
      </c>
      <c r="P21" s="31">
        <f t="shared" si="8"/>
        <v>3249120176</v>
      </c>
    </row>
    <row r="22" spans="2:16" ht="13.5" customHeight="1" x14ac:dyDescent="0.25">
      <c r="B22" s="29">
        <v>17</v>
      </c>
      <c r="C22" s="30">
        <f t="shared" si="0"/>
        <v>2799297757</v>
      </c>
      <c r="D22" s="30">
        <f t="shared" si="1"/>
        <v>806430056</v>
      </c>
      <c r="E22" s="30">
        <f t="shared" si="2"/>
        <v>346088301</v>
      </c>
      <c r="F22" s="30">
        <f t="shared" si="3"/>
        <v>3249120176</v>
      </c>
      <c r="G22" s="30">
        <f t="shared" si="3"/>
        <v>2931965646</v>
      </c>
      <c r="H22" s="31">
        <f t="shared" si="4"/>
        <v>35958022</v>
      </c>
      <c r="I22" s="31">
        <f t="shared" si="5"/>
        <v>1082229168</v>
      </c>
      <c r="J22" s="31">
        <f t="shared" si="6"/>
        <v>2889888330</v>
      </c>
      <c r="K22" s="31">
        <f>0</f>
        <v>0</v>
      </c>
      <c r="L22" s="31">
        <f t="shared" si="7"/>
        <v>3972117498</v>
      </c>
      <c r="P22" s="31">
        <f t="shared" si="8"/>
        <v>346088301</v>
      </c>
    </row>
    <row r="23" spans="2:16" ht="13.5" customHeight="1" x14ac:dyDescent="0.25">
      <c r="B23" s="29">
        <v>18</v>
      </c>
      <c r="C23" s="30">
        <f t="shared" si="0"/>
        <v>2502555667</v>
      </c>
      <c r="D23" s="30">
        <f t="shared" si="1"/>
        <v>2799297757</v>
      </c>
      <c r="E23" s="30">
        <f t="shared" si="2"/>
        <v>201607514</v>
      </c>
      <c r="F23" s="30">
        <f t="shared" si="3"/>
        <v>346088301</v>
      </c>
      <c r="G23" s="30">
        <f t="shared" si="3"/>
        <v>3249120176</v>
      </c>
      <c r="H23" s="31">
        <f t="shared" si="4"/>
        <v>3678182324</v>
      </c>
      <c r="I23" s="31">
        <f t="shared" si="5"/>
        <v>268444008</v>
      </c>
      <c r="J23" s="31">
        <f t="shared" si="6"/>
        <v>3249046160</v>
      </c>
      <c r="K23" s="31">
        <f>0</f>
        <v>0</v>
      </c>
      <c r="L23" s="31">
        <f t="shared" si="7"/>
        <v>3517490168</v>
      </c>
      <c r="P23" s="31">
        <f t="shared" si="8"/>
        <v>201607514</v>
      </c>
    </row>
    <row r="24" spans="2:16" ht="13.5" customHeight="1" x14ac:dyDescent="0.25">
      <c r="B24" s="29">
        <v>19</v>
      </c>
      <c r="C24" s="30">
        <f t="shared" si="0"/>
        <v>3582681987</v>
      </c>
      <c r="D24" s="30">
        <f t="shared" si="1"/>
        <v>2502555667</v>
      </c>
      <c r="E24" s="30">
        <f t="shared" si="2"/>
        <v>1773566263</v>
      </c>
      <c r="F24" s="30">
        <f t="shared" si="3"/>
        <v>201607514</v>
      </c>
      <c r="G24" s="30">
        <f t="shared" si="3"/>
        <v>346088301</v>
      </c>
      <c r="H24" s="31">
        <f t="shared" si="4"/>
        <v>2772370034</v>
      </c>
      <c r="I24" s="31">
        <f t="shared" si="5"/>
        <v>67125336</v>
      </c>
      <c r="J24" s="31">
        <f t="shared" si="6"/>
        <v>270533408</v>
      </c>
      <c r="K24" s="31">
        <f>0</f>
        <v>0</v>
      </c>
      <c r="L24" s="31">
        <f t="shared" si="7"/>
        <v>337658744</v>
      </c>
      <c r="P24" s="31">
        <f t="shared" si="8"/>
        <v>1773566263</v>
      </c>
    </row>
    <row r="25" spans="2:16" ht="13.5" customHeight="1" x14ac:dyDescent="0.25">
      <c r="B25" s="29">
        <v>20</v>
      </c>
      <c r="C25" s="30">
        <f t="shared" si="0"/>
        <v>3410622604</v>
      </c>
      <c r="D25" s="30">
        <f t="shared" si="1"/>
        <v>3582681987</v>
      </c>
      <c r="E25" s="30">
        <f t="shared" si="2"/>
        <v>3846864388</v>
      </c>
      <c r="F25" s="30">
        <f t="shared" si="3"/>
        <v>1773566263</v>
      </c>
      <c r="G25" s="30">
        <f t="shared" si="3"/>
        <v>201607514</v>
      </c>
      <c r="H25" s="31">
        <f t="shared" si="4"/>
        <v>2976673914</v>
      </c>
      <c r="I25" s="31">
        <f t="shared" si="5"/>
        <v>18905107</v>
      </c>
      <c r="J25" s="31">
        <f t="shared" si="6"/>
        <v>134480200</v>
      </c>
      <c r="K25" s="31">
        <f>0</f>
        <v>0</v>
      </c>
      <c r="L25" s="31">
        <f t="shared" si="7"/>
        <v>153385307</v>
      </c>
      <c r="P25" s="31">
        <f t="shared" si="8"/>
        <v>3846864388</v>
      </c>
    </row>
    <row r="26" spans="2:16" ht="13.5" customHeight="1" x14ac:dyDescent="0.25">
      <c r="B26" s="32">
        <v>21</v>
      </c>
      <c r="C26" s="33">
        <f t="shared" ref="C26:C45" si="9">MOD(H26+L26+G25+1859775393+BF220,4294967296)</f>
        <v>4220824389</v>
      </c>
      <c r="D26" s="33">
        <f t="shared" si="1"/>
        <v>3410622604</v>
      </c>
      <c r="E26" s="33">
        <f t="shared" si="2"/>
        <v>4116895968</v>
      </c>
      <c r="F26" s="33">
        <f t="shared" ref="F26:G45" si="10">E25</f>
        <v>3846864388</v>
      </c>
      <c r="G26" s="33">
        <f t="shared" si="10"/>
        <v>1773566263</v>
      </c>
      <c r="H26" s="31">
        <f t="shared" si="4"/>
        <v>1765740953</v>
      </c>
      <c r="I26" s="31">
        <f t="shared" si="5"/>
        <v>3305792000</v>
      </c>
      <c r="J26" s="31">
        <f t="shared" ref="J26:J45" si="11">((MOD(INT(MOD(INT((MOD(D25+E25-2*I26,4294967296))/1),256)/2^0),2)*MOD(INT(MOD(INT((F25)/1),256)/2^0),2)*1+MOD(INT(MOD(INT((MOD(D25+E25-2*I26,4294967296))/1),256)/2^1),2)*MOD(INT(MOD(INT((F25)/1),256)/2^1),2)*2+MOD(INT(MOD(INT((MOD(D25+E25-2*I26,4294967296))/1),256)/2^2),2)*MOD(INT(MOD(INT((F25)/1),256)/2^2),2)*4+MOD(INT(MOD(INT((MOD(D25+E25-2*I26,4294967296))/1),256)/2^3),2)*MOD(INT(MOD(INT((F25)/1),256)/2^3),2)*8+MOD(INT(MOD(INT((MOD(D25+E25-2*I26,4294967296))/1),256)/2^4),2)*MOD(INT(MOD(INT((F25)/1),256)/2^4),2)*16+MOD(INT(MOD(INT((MOD(D25+E25-2*I26,4294967296))/1),256)/2^5),2)*MOD(INT(MOD(INT((F25)/1),256)/2^5),2)*32+MOD(INT(MOD(INT((MOD(D25+E25-2*I26,4294967296))/1),256)/2^6),2)*MOD(INT(MOD(INT((F25)/1),256)/2^6),2)*64+MOD(INT(MOD(INT((MOD(D25+E25-2*I26,4294967296))/1),256)/2^7),2)*MOD(INT(MOD(INT((F25)/1),256)/2^7),2)*128)*1+(MOD(INT(MOD(INT((MOD(D25+E25-2*I26,4294967296))/256),256)/2^0),2)*MOD(INT(MOD(INT((F25)/256),256)/2^0),2)*1+MOD(INT(MOD(INT((MOD(D25+E25-2*I26,4294967296))/256),256)/2^1),2)*MOD(INT(MOD(INT((F25)/256),256)/2^1),2)*2+MOD(INT(MOD(INT((MOD(D25+E25-2*I26,4294967296))/256),256)/2^2),2)*MOD(INT(MOD(INT((F25)/256),256)/2^2),2)*4+MOD(INT(MOD(INT((MOD(D25+E25-2*I26,4294967296))/256),256)/2^3),2)*MOD(INT(MOD(INT((F25)/256),256)/2^3),2)*8+MOD(INT(MOD(INT((MOD(D25+E25-2*I26,4294967296))/256),256)/2^4),2)*MOD(INT(MOD(INT((F25)/256),256)/2^4),2)*16+MOD(INT(MOD(INT((MOD(D25+E25-2*I26,4294967296))/256),256)/2^5),2)*MOD(INT(MOD(INT((F25)/256),256)/2^5),2)*32+MOD(INT(MOD(INT((MOD(D25+E25-2*I26,4294967296))/256),256)/2^6),2)*MOD(INT(MOD(INT((F25)/256),256)/2^6),2)*64+MOD(INT(MOD(INT((MOD(D25+E25-2*I26,4294967296))/256),256)/2^7),2)*MOD(INT(MOD(INT((F25)/256),256)/2^7),2)*128)*256+(MOD(INT(MOD(INT((MOD(D25+E25-2*I26,4294967296))/65536),256)/2^0),2)*MOD(INT(MOD(INT((F25)/65536),256)/2^0),2)*1+MOD(INT(MOD(INT((MOD(D25+E25-2*I26,4294967296))/65536),256)/2^1),2)*MOD(INT(MOD(INT((F25)/65536),256)/2^1),2)*2+MOD(INT(MOD(INT((MOD(D25+E25-2*I26,4294967296))/65536),256)/2^2),2)*MOD(INT(MOD(INT((F25)/65536),256)/2^2),2)*4+MOD(INT(MOD(INT((MOD(D25+E25-2*I26,4294967296))/65536),256)/2^3),2)*MOD(INT(MOD(INT((F25)/65536),256)/2^3),2)*8+MOD(INT(MOD(INT((MOD(D25+E25-2*I26,4294967296))/65536),256)/2^4),2)*MOD(INT(MOD(INT((F25)/65536),256)/2^4),2)*16+MOD(INT(MOD(INT((MOD(D25+E25-2*I26,4294967296))/65536),256)/2^5),2)*MOD(INT(MOD(INT((F25)/65536),256)/2^5),2)*32+MOD(INT(MOD(INT((MOD(D25+E25-2*I26,4294967296))/65536),256)/2^6),2)*MOD(INT(MOD(INT((F25)/65536),256)/2^6),2)*64+MOD(INT(MOD(INT((MOD(D25+E25-2*I26,4294967296))/65536),256)/2^7),2)*MOD(INT(MOD(INT((F25)/65536),256)/2^7),2)*128)*65536+(MOD(INT(MOD(INT((MOD(D25+E25-2*I26,4294967296))/16777216),256)/2^0),2)*MOD(INT(MOD(INT((F25)/16777216),256)/2^0),2)*1+MOD(INT(MOD(INT((MOD(D25+E25-2*I26,4294967296))/16777216),256)/2^1),2)*MOD(INT(MOD(INT((F25)/16777216),256)/2^1),2)*2+MOD(INT(MOD(INT((MOD(D25+E25-2*I26,4294967296))/16777216),256)/2^2),2)*MOD(INT(MOD(INT((F25)/16777216),256)/2^2),2)*4+MOD(INT(MOD(INT((MOD(D25+E25-2*I26,4294967296))/16777216),256)/2^3),2)*MOD(INT(MOD(INT((F25)/16777216),256)/2^3),2)*8+MOD(INT(MOD(INT((MOD(D25+E25-2*I26,4294967296))/16777216),256)/2^4),2)*MOD(INT(MOD(INT((F25)/16777216),256)/2^4),2)*16+MOD(INT(MOD(INT((MOD(D25+E25-2*I26,4294967296))/16777216),256)/2^5),2)*MOD(INT(MOD(INT((F25)/16777216),256)/2^5),2)*32+MOD(INT(MOD(INT((MOD(D25+E25-2*I26,4294967296))/16777216),256)/2^6),2)*MOD(INT(MOD(INT((F25)/16777216),256)/2^6),2)*64+MOD(INT(MOD(INT((MOD(D25+E25-2*I26,4294967296))/16777216),256)/2^7),2)*MOD(INT(MOD(INT((F25)/16777216),256)/2^7),2)*128)*16777216)</f>
        <v>545265927</v>
      </c>
      <c r="K26" s="31">
        <f>0</f>
        <v>0</v>
      </c>
      <c r="L26" s="31">
        <f t="shared" ref="L26:L45" si="12">MOD(MOD(D25+E25-2*I26,4294967296)+F25-2*J26,4294967296)</f>
        <v>1500996784</v>
      </c>
      <c r="P26" s="31">
        <f t="shared" si="8"/>
        <v>4116895968</v>
      </c>
    </row>
    <row r="27" spans="2:16" ht="13.5" customHeight="1" x14ac:dyDescent="0.25">
      <c r="B27" s="32">
        <v>22</v>
      </c>
      <c r="C27" s="33">
        <f t="shared" si="9"/>
        <v>646392991</v>
      </c>
      <c r="D27" s="33">
        <f t="shared" si="1"/>
        <v>4220824389</v>
      </c>
      <c r="E27" s="33">
        <f t="shared" si="2"/>
        <v>852655651</v>
      </c>
      <c r="F27" s="33">
        <f t="shared" si="10"/>
        <v>4116895968</v>
      </c>
      <c r="G27" s="33">
        <f t="shared" si="10"/>
        <v>3846864388</v>
      </c>
      <c r="H27" s="31">
        <f t="shared" si="4"/>
        <v>1922394303</v>
      </c>
      <c r="I27" s="31">
        <f t="shared" si="5"/>
        <v>3242252416</v>
      </c>
      <c r="J27" s="31">
        <f t="shared" si="11"/>
        <v>604643332</v>
      </c>
      <c r="K27" s="31">
        <f>0</f>
        <v>0</v>
      </c>
      <c r="L27" s="31">
        <f t="shared" si="12"/>
        <v>3680591464</v>
      </c>
      <c r="P27" s="31">
        <f t="shared" si="8"/>
        <v>852655651</v>
      </c>
    </row>
    <row r="28" spans="2:16" ht="13.5" customHeight="1" x14ac:dyDescent="0.25">
      <c r="B28" s="32">
        <v>23</v>
      </c>
      <c r="C28" s="33">
        <f t="shared" si="9"/>
        <v>2757324402</v>
      </c>
      <c r="D28" s="33">
        <f t="shared" si="1"/>
        <v>646392991</v>
      </c>
      <c r="E28" s="33">
        <f t="shared" si="2"/>
        <v>2128947921</v>
      </c>
      <c r="F28" s="33">
        <f t="shared" si="10"/>
        <v>852655651</v>
      </c>
      <c r="G28" s="33">
        <f t="shared" si="10"/>
        <v>4116895968</v>
      </c>
      <c r="H28" s="31">
        <f t="shared" si="4"/>
        <v>3504706532</v>
      </c>
      <c r="I28" s="31">
        <f t="shared" si="5"/>
        <v>848308737</v>
      </c>
      <c r="J28" s="31">
        <f t="shared" si="11"/>
        <v>3242381408</v>
      </c>
      <c r="K28" s="31">
        <f>0</f>
        <v>0</v>
      </c>
      <c r="L28" s="31">
        <f t="shared" si="12"/>
        <v>1008995718</v>
      </c>
      <c r="P28" s="31">
        <f t="shared" si="8"/>
        <v>2128947921</v>
      </c>
    </row>
    <row r="29" spans="2:16" ht="13.5" customHeight="1" x14ac:dyDescent="0.25">
      <c r="B29" s="32">
        <v>24</v>
      </c>
      <c r="C29" s="33">
        <f t="shared" si="9"/>
        <v>3592096661</v>
      </c>
      <c r="D29" s="33">
        <f t="shared" si="1"/>
        <v>2757324402</v>
      </c>
      <c r="E29" s="33">
        <f t="shared" si="2"/>
        <v>3382823719</v>
      </c>
      <c r="F29" s="33">
        <f t="shared" si="10"/>
        <v>2128947921</v>
      </c>
      <c r="G29" s="33">
        <f t="shared" si="10"/>
        <v>852655651</v>
      </c>
      <c r="H29" s="31">
        <f t="shared" si="4"/>
        <v>2335034964</v>
      </c>
      <c r="I29" s="31">
        <f t="shared" si="5"/>
        <v>646260881</v>
      </c>
      <c r="J29" s="31">
        <f t="shared" si="11"/>
        <v>272762370</v>
      </c>
      <c r="K29" s="31">
        <f>0</f>
        <v>0</v>
      </c>
      <c r="L29" s="31">
        <f t="shared" si="12"/>
        <v>1789950061</v>
      </c>
      <c r="P29" s="31">
        <f t="shared" si="8"/>
        <v>3382823719</v>
      </c>
    </row>
    <row r="30" spans="2:16" ht="13.5" customHeight="1" x14ac:dyDescent="0.25">
      <c r="B30" s="32">
        <v>25</v>
      </c>
      <c r="C30" s="33">
        <f t="shared" si="9"/>
        <v>432086259</v>
      </c>
      <c r="D30" s="33">
        <f t="shared" si="1"/>
        <v>3592096661</v>
      </c>
      <c r="E30" s="33">
        <f t="shared" si="2"/>
        <v>2836814748</v>
      </c>
      <c r="F30" s="33">
        <f t="shared" si="10"/>
        <v>3382823719</v>
      </c>
      <c r="G30" s="33">
        <f t="shared" si="10"/>
        <v>2128947921</v>
      </c>
      <c r="H30" s="31">
        <f t="shared" si="4"/>
        <v>3277943482</v>
      </c>
      <c r="I30" s="31">
        <f t="shared" si="5"/>
        <v>2147568162</v>
      </c>
      <c r="J30" s="31">
        <f t="shared" si="11"/>
        <v>1826627665</v>
      </c>
      <c r="K30" s="31">
        <f>0</f>
        <v>0</v>
      </c>
      <c r="L30" s="31">
        <f t="shared" si="12"/>
        <v>320704388</v>
      </c>
      <c r="P30" s="31">
        <f t="shared" si="8"/>
        <v>2836814748</v>
      </c>
    </row>
    <row r="31" spans="2:16" ht="13.5" customHeight="1" x14ac:dyDescent="0.25">
      <c r="B31" s="32">
        <v>26</v>
      </c>
      <c r="C31" s="33">
        <f t="shared" si="9"/>
        <v>350623434</v>
      </c>
      <c r="D31" s="33">
        <f t="shared" si="1"/>
        <v>432086259</v>
      </c>
      <c r="E31" s="33">
        <f t="shared" si="2"/>
        <v>1971765989</v>
      </c>
      <c r="F31" s="33">
        <f t="shared" si="10"/>
        <v>2836814748</v>
      </c>
      <c r="G31" s="33">
        <f t="shared" si="10"/>
        <v>3382823719</v>
      </c>
      <c r="H31" s="31">
        <f t="shared" si="4"/>
        <v>941858403</v>
      </c>
      <c r="I31" s="31">
        <f t="shared" si="5"/>
        <v>2148666260</v>
      </c>
      <c r="J31" s="31">
        <f t="shared" si="11"/>
        <v>1224818689</v>
      </c>
      <c r="K31" s="31">
        <f>0</f>
        <v>0</v>
      </c>
      <c r="L31" s="31">
        <f t="shared" si="12"/>
        <v>3064765230</v>
      </c>
      <c r="P31" s="31">
        <f t="shared" si="8"/>
        <v>1971765989</v>
      </c>
    </row>
    <row r="32" spans="2:16" ht="13.5" customHeight="1" x14ac:dyDescent="0.25">
      <c r="B32" s="32">
        <v>27</v>
      </c>
      <c r="C32" s="33">
        <f t="shared" si="9"/>
        <v>2458916250</v>
      </c>
      <c r="D32" s="33">
        <f t="shared" si="1"/>
        <v>350623434</v>
      </c>
      <c r="E32" s="33">
        <f t="shared" si="2"/>
        <v>3329247036</v>
      </c>
      <c r="F32" s="33">
        <f t="shared" si="10"/>
        <v>1971765989</v>
      </c>
      <c r="G32" s="33">
        <f t="shared" si="10"/>
        <v>2836814748</v>
      </c>
      <c r="H32" s="31">
        <f t="shared" si="4"/>
        <v>2630015298</v>
      </c>
      <c r="I32" s="31">
        <f t="shared" si="5"/>
        <v>293601505</v>
      </c>
      <c r="J32" s="31">
        <f t="shared" si="11"/>
        <v>671504916</v>
      </c>
      <c r="K32" s="31">
        <f>0</f>
        <v>0</v>
      </c>
      <c r="L32" s="31">
        <f t="shared" si="12"/>
        <v>3310454154</v>
      </c>
      <c r="P32" s="31">
        <f t="shared" si="8"/>
        <v>3329247036</v>
      </c>
    </row>
    <row r="33" spans="2:16" ht="13.5" customHeight="1" x14ac:dyDescent="0.25">
      <c r="B33" s="32">
        <v>28</v>
      </c>
      <c r="C33" s="33">
        <f t="shared" si="9"/>
        <v>285446178</v>
      </c>
      <c r="D33" s="33">
        <f t="shared" si="1"/>
        <v>2458916250</v>
      </c>
      <c r="E33" s="33">
        <f t="shared" si="2"/>
        <v>2235139506</v>
      </c>
      <c r="F33" s="33">
        <f t="shared" si="10"/>
        <v>3329247036</v>
      </c>
      <c r="G33" s="33">
        <f t="shared" si="10"/>
        <v>1971765989</v>
      </c>
      <c r="H33" s="31">
        <f t="shared" si="4"/>
        <v>1375908690</v>
      </c>
      <c r="I33" s="31">
        <f t="shared" si="5"/>
        <v>73401864</v>
      </c>
      <c r="J33" s="31">
        <f t="shared" si="11"/>
        <v>1350975716</v>
      </c>
      <c r="K33" s="31">
        <f>0</f>
        <v>0</v>
      </c>
      <c r="L33" s="31">
        <f t="shared" si="12"/>
        <v>2802881299</v>
      </c>
      <c r="P33" s="31">
        <f t="shared" si="8"/>
        <v>2235139506</v>
      </c>
    </row>
    <row r="34" spans="2:16" ht="13.5" customHeight="1" x14ac:dyDescent="0.25">
      <c r="B34" s="32">
        <v>29</v>
      </c>
      <c r="C34" s="33">
        <f t="shared" si="9"/>
        <v>3814332265</v>
      </c>
      <c r="D34" s="33">
        <f t="shared" si="1"/>
        <v>285446178</v>
      </c>
      <c r="E34" s="33">
        <f t="shared" si="2"/>
        <v>2762212710</v>
      </c>
      <c r="F34" s="33">
        <f t="shared" si="10"/>
        <v>2235139506</v>
      </c>
      <c r="G34" s="33">
        <f t="shared" si="10"/>
        <v>3329247036</v>
      </c>
      <c r="H34" s="31">
        <f t="shared" si="4"/>
        <v>544343106</v>
      </c>
      <c r="I34" s="31">
        <f t="shared" si="5"/>
        <v>2148533650</v>
      </c>
      <c r="J34" s="31">
        <f t="shared" si="11"/>
        <v>102760488</v>
      </c>
      <c r="K34" s="31">
        <f>0</f>
        <v>0</v>
      </c>
      <c r="L34" s="31">
        <f t="shared" si="12"/>
        <v>3520714516</v>
      </c>
      <c r="P34" s="31">
        <f t="shared" si="8"/>
        <v>2762212710</v>
      </c>
    </row>
    <row r="35" spans="2:16" ht="13.5" customHeight="1" x14ac:dyDescent="0.25">
      <c r="B35" s="32">
        <v>30</v>
      </c>
      <c r="C35" s="33">
        <f t="shared" si="9"/>
        <v>3240833580</v>
      </c>
      <c r="D35" s="33">
        <f t="shared" si="1"/>
        <v>3814332265</v>
      </c>
      <c r="E35" s="33">
        <f t="shared" si="2"/>
        <v>2218845192</v>
      </c>
      <c r="F35" s="33">
        <f t="shared" si="10"/>
        <v>2762212710</v>
      </c>
      <c r="G35" s="33">
        <f t="shared" si="10"/>
        <v>2235139506</v>
      </c>
      <c r="H35" s="31">
        <f t="shared" si="4"/>
        <v>1799548220</v>
      </c>
      <c r="I35" s="31">
        <f t="shared" si="5"/>
        <v>34</v>
      </c>
      <c r="J35" s="31">
        <f t="shared" si="11"/>
        <v>2233566464</v>
      </c>
      <c r="K35" s="31">
        <f>0</f>
        <v>0</v>
      </c>
      <c r="L35" s="31">
        <f t="shared" si="12"/>
        <v>815665398</v>
      </c>
      <c r="P35" s="31">
        <f t="shared" si="8"/>
        <v>2218845192</v>
      </c>
    </row>
    <row r="36" spans="2:16" ht="13.5" customHeight="1" x14ac:dyDescent="0.25">
      <c r="B36" s="32">
        <v>31</v>
      </c>
      <c r="C36" s="33">
        <f t="shared" si="9"/>
        <v>83631977</v>
      </c>
      <c r="D36" s="33">
        <f t="shared" si="1"/>
        <v>3240833580</v>
      </c>
      <c r="E36" s="33">
        <f t="shared" si="2"/>
        <v>2027324890</v>
      </c>
      <c r="F36" s="33">
        <f t="shared" si="10"/>
        <v>2218845192</v>
      </c>
      <c r="G36" s="33">
        <f t="shared" si="10"/>
        <v>2762212710</v>
      </c>
      <c r="H36" s="31">
        <f t="shared" si="4"/>
        <v>627459480</v>
      </c>
      <c r="I36" s="31">
        <f t="shared" si="5"/>
        <v>2151678984</v>
      </c>
      <c r="J36" s="31">
        <f t="shared" si="11"/>
        <v>603980128</v>
      </c>
      <c r="K36" s="31">
        <f>0</f>
        <v>0</v>
      </c>
      <c r="L36" s="31">
        <f t="shared" si="12"/>
        <v>3284071943</v>
      </c>
      <c r="P36" s="31">
        <f t="shared" si="8"/>
        <v>2027324890</v>
      </c>
    </row>
    <row r="37" spans="2:16" ht="13.5" customHeight="1" x14ac:dyDescent="0.25">
      <c r="B37" s="32">
        <v>32</v>
      </c>
      <c r="C37" s="33">
        <f t="shared" si="9"/>
        <v>1343901202</v>
      </c>
      <c r="D37" s="33">
        <f t="shared" si="1"/>
        <v>83631977</v>
      </c>
      <c r="E37" s="33">
        <f t="shared" si="2"/>
        <v>810208395</v>
      </c>
      <c r="F37" s="33">
        <f t="shared" si="10"/>
        <v>2027324890</v>
      </c>
      <c r="G37" s="33">
        <f t="shared" si="10"/>
        <v>2218845192</v>
      </c>
      <c r="H37" s="31">
        <f t="shared" si="4"/>
        <v>2676223264</v>
      </c>
      <c r="I37" s="31">
        <f t="shared" si="5"/>
        <v>1073872904</v>
      </c>
      <c r="J37" s="31">
        <f t="shared" si="11"/>
        <v>2151719936</v>
      </c>
      <c r="K37" s="31">
        <f>0</f>
        <v>0</v>
      </c>
      <c r="L37" s="31">
        <f t="shared" si="12"/>
        <v>1035817982</v>
      </c>
      <c r="P37" s="31">
        <f t="shared" si="8"/>
        <v>810208395</v>
      </c>
    </row>
    <row r="38" spans="2:16" ht="13.5" customHeight="1" x14ac:dyDescent="0.25">
      <c r="B38" s="32">
        <v>33</v>
      </c>
      <c r="C38" s="33">
        <f t="shared" si="9"/>
        <v>1166260980</v>
      </c>
      <c r="D38" s="33">
        <f t="shared" ref="D38:D69" si="13">C37</f>
        <v>1343901202</v>
      </c>
      <c r="E38" s="33">
        <f t="shared" ref="E38:E69" si="14">P38</f>
        <v>1094649818</v>
      </c>
      <c r="F38" s="33">
        <f t="shared" si="10"/>
        <v>810208395</v>
      </c>
      <c r="G38" s="33">
        <f t="shared" si="10"/>
        <v>2027324890</v>
      </c>
      <c r="H38" s="31">
        <f t="shared" ref="H38:H69" si="15">MOD(MOD(C37,2^27)*2^5+INT(C37/2^27),4294967296)</f>
        <v>55165514</v>
      </c>
      <c r="I38" s="31">
        <f t="shared" ref="I38:I69" si="16">((MOD(INT(MOD(INT((D37)/1),256)/2^0),2)*MOD(INT(MOD(INT((E37)/1),256)/2^0),2)*1+MOD(INT(MOD(INT((D37)/1),256)/2^1),2)*MOD(INT(MOD(INT((E37)/1),256)/2^1),2)*2+MOD(INT(MOD(INT((D37)/1),256)/2^2),2)*MOD(INT(MOD(INT((E37)/1),256)/2^2),2)*4+MOD(INT(MOD(INT((D37)/1),256)/2^3),2)*MOD(INT(MOD(INT((E37)/1),256)/2^3),2)*8+MOD(INT(MOD(INT((D37)/1),256)/2^4),2)*MOD(INT(MOD(INT((E37)/1),256)/2^4),2)*16+MOD(INT(MOD(INT((D37)/1),256)/2^5),2)*MOD(INT(MOD(INT((E37)/1),256)/2^5),2)*32+MOD(INT(MOD(INT((D37)/1),256)/2^6),2)*MOD(INT(MOD(INT((E37)/1),256)/2^6),2)*64+MOD(INT(MOD(INT((D37)/1),256)/2^7),2)*MOD(INT(MOD(INT((E37)/1),256)/2^7),2)*128)*1+(MOD(INT(MOD(INT((D37)/256),256)/2^0),2)*MOD(INT(MOD(INT((E37)/256),256)/2^0),2)*1+MOD(INT(MOD(INT((D37)/256),256)/2^1),2)*MOD(INT(MOD(INT((E37)/256),256)/2^1),2)*2+MOD(INT(MOD(INT((D37)/256),256)/2^2),2)*MOD(INT(MOD(INT((E37)/256),256)/2^2),2)*4+MOD(INT(MOD(INT((D37)/256),256)/2^3),2)*MOD(INT(MOD(INT((E37)/256),256)/2^3),2)*8+MOD(INT(MOD(INT((D37)/256),256)/2^4),2)*MOD(INT(MOD(INT((E37)/256),256)/2^4),2)*16+MOD(INT(MOD(INT((D37)/256),256)/2^5),2)*MOD(INT(MOD(INT((E37)/256),256)/2^5),2)*32+MOD(INT(MOD(INT((D37)/256),256)/2^6),2)*MOD(INT(MOD(INT((E37)/256),256)/2^6),2)*64+MOD(INT(MOD(INT((D37)/256),256)/2^7),2)*MOD(INT(MOD(INT((E37)/256),256)/2^7),2)*128)*256+(MOD(INT(MOD(INT((D37)/65536),256)/2^0),2)*MOD(INT(MOD(INT((E37)/65536),256)/2^0),2)*1+MOD(INT(MOD(INT((D37)/65536),256)/2^1),2)*MOD(INT(MOD(INT((E37)/65536),256)/2^1),2)*2+MOD(INT(MOD(INT((D37)/65536),256)/2^2),2)*MOD(INT(MOD(INT((E37)/65536),256)/2^2),2)*4+MOD(INT(MOD(INT((D37)/65536),256)/2^3),2)*MOD(INT(MOD(INT((E37)/65536),256)/2^3),2)*8+MOD(INT(MOD(INT((D37)/65536),256)/2^4),2)*MOD(INT(MOD(INT((E37)/65536),256)/2^4),2)*16+MOD(INT(MOD(INT((D37)/65536),256)/2^5),2)*MOD(INT(MOD(INT((E37)/65536),256)/2^5),2)*32+MOD(INT(MOD(INT((D37)/65536),256)/2^6),2)*MOD(INT(MOD(INT((E37)/65536),256)/2^6),2)*64+MOD(INT(MOD(INT((D37)/65536),256)/2^7),2)*MOD(INT(MOD(INT((E37)/65536),256)/2^7),2)*128)*65536+(MOD(INT(MOD(INT((D37)/16777216),256)/2^0),2)*MOD(INT(MOD(INT((E37)/16777216),256)/2^0),2)*1+MOD(INT(MOD(INT((D37)/16777216),256)/2^1),2)*MOD(INT(MOD(INT((E37)/16777216),256)/2^1),2)*2+MOD(INT(MOD(INT((D37)/16777216),256)/2^2),2)*MOD(INT(MOD(INT((E37)/16777216),256)/2^2),2)*4+MOD(INT(MOD(INT((D37)/16777216),256)/2^3),2)*MOD(INT(MOD(INT((E37)/16777216),256)/2^3),2)*8+MOD(INT(MOD(INT((D37)/16777216),256)/2^4),2)*MOD(INT(MOD(INT((E37)/16777216),256)/2^4),2)*16+MOD(INT(MOD(INT((D37)/16777216),256)/2^5),2)*MOD(INT(MOD(INT((E37)/16777216),256)/2^5),2)*32+MOD(INT(MOD(INT((D37)/16777216),256)/2^6),2)*MOD(INT(MOD(INT((E37)/16777216),256)/2^6),2)*64+MOD(INT(MOD(INT((D37)/16777216),256)/2^7),2)*MOD(INT(MOD(INT((E37)/16777216),256)/2^7),2)*128)*16777216)</f>
        <v>4721673</v>
      </c>
      <c r="J38" s="31">
        <f t="shared" si="11"/>
        <v>815169986</v>
      </c>
      <c r="K38" s="31">
        <f>0</f>
        <v>0</v>
      </c>
      <c r="L38" s="31">
        <f t="shared" si="12"/>
        <v>1281381944</v>
      </c>
      <c r="P38" s="31">
        <f t="shared" ref="P38:P69" si="17">MOD(MOD(D37,2^2)*2^30+INT(D37/2^2),4294967296)</f>
        <v>1094649818</v>
      </c>
    </row>
    <row r="39" spans="2:16" ht="13.5" customHeight="1" x14ac:dyDescent="0.25">
      <c r="B39" s="32">
        <v>34</v>
      </c>
      <c r="C39" s="33">
        <f t="shared" si="9"/>
        <v>2073517896</v>
      </c>
      <c r="D39" s="33">
        <f t="shared" si="13"/>
        <v>1166260980</v>
      </c>
      <c r="E39" s="33">
        <f t="shared" si="14"/>
        <v>2483458948</v>
      </c>
      <c r="F39" s="33">
        <f t="shared" si="10"/>
        <v>1094649818</v>
      </c>
      <c r="G39" s="33">
        <f t="shared" si="10"/>
        <v>810208395</v>
      </c>
      <c r="H39" s="31">
        <f t="shared" si="15"/>
        <v>2960613000</v>
      </c>
      <c r="I39" s="31">
        <f t="shared" si="16"/>
        <v>1075447314</v>
      </c>
      <c r="J39" s="31">
        <f t="shared" si="11"/>
        <v>268454024</v>
      </c>
      <c r="K39" s="31">
        <f>0</f>
        <v>0</v>
      </c>
      <c r="L39" s="31">
        <f t="shared" si="12"/>
        <v>560956739</v>
      </c>
      <c r="P39" s="31">
        <f t="shared" si="17"/>
        <v>2483458948</v>
      </c>
    </row>
    <row r="40" spans="2:16" ht="13.5" customHeight="1" x14ac:dyDescent="0.25">
      <c r="B40" s="32">
        <v>35</v>
      </c>
      <c r="C40" s="33">
        <f t="shared" si="9"/>
        <v>3582003033</v>
      </c>
      <c r="D40" s="33">
        <f t="shared" si="13"/>
        <v>2073517896</v>
      </c>
      <c r="E40" s="33">
        <f t="shared" si="14"/>
        <v>291565245</v>
      </c>
      <c r="F40" s="33">
        <f t="shared" si="10"/>
        <v>2483458948</v>
      </c>
      <c r="G40" s="33">
        <f t="shared" si="10"/>
        <v>1094649818</v>
      </c>
      <c r="H40" s="31">
        <f t="shared" si="15"/>
        <v>1928063247</v>
      </c>
      <c r="I40" s="31">
        <f t="shared" si="16"/>
        <v>67277444</v>
      </c>
      <c r="J40" s="31">
        <f t="shared" si="11"/>
        <v>1090847056</v>
      </c>
      <c r="K40" s="31">
        <f>0</f>
        <v>0</v>
      </c>
      <c r="L40" s="31">
        <f t="shared" si="12"/>
        <v>2428120746</v>
      </c>
      <c r="P40" s="31">
        <f t="shared" si="17"/>
        <v>291565245</v>
      </c>
    </row>
    <row r="41" spans="2:16" ht="13.5" customHeight="1" x14ac:dyDescent="0.25">
      <c r="B41" s="32">
        <v>36</v>
      </c>
      <c r="C41" s="33">
        <f t="shared" si="9"/>
        <v>2776744919</v>
      </c>
      <c r="D41" s="33">
        <f t="shared" si="13"/>
        <v>3582003033</v>
      </c>
      <c r="E41" s="33">
        <f t="shared" si="14"/>
        <v>518379474</v>
      </c>
      <c r="F41" s="33">
        <f t="shared" si="10"/>
        <v>291565245</v>
      </c>
      <c r="G41" s="33">
        <f t="shared" si="10"/>
        <v>2483458948</v>
      </c>
      <c r="H41" s="31">
        <f t="shared" si="15"/>
        <v>2954947386</v>
      </c>
      <c r="I41" s="31">
        <f t="shared" si="16"/>
        <v>285232648</v>
      </c>
      <c r="J41" s="31">
        <f t="shared" si="11"/>
        <v>430468</v>
      </c>
      <c r="K41" s="31">
        <f>0</f>
        <v>0</v>
      </c>
      <c r="L41" s="31">
        <f t="shared" si="12"/>
        <v>4277215857</v>
      </c>
      <c r="P41" s="31">
        <f t="shared" si="17"/>
        <v>518379474</v>
      </c>
    </row>
    <row r="42" spans="2:16" ht="13.5" customHeight="1" x14ac:dyDescent="0.25">
      <c r="B42" s="32">
        <v>37</v>
      </c>
      <c r="C42" s="33">
        <f t="shared" si="9"/>
        <v>4096459305</v>
      </c>
      <c r="D42" s="33">
        <f t="shared" si="13"/>
        <v>2776744919</v>
      </c>
      <c r="E42" s="33">
        <f t="shared" si="14"/>
        <v>1969242582</v>
      </c>
      <c r="F42" s="33">
        <f t="shared" si="10"/>
        <v>518379474</v>
      </c>
      <c r="G42" s="33">
        <f t="shared" si="10"/>
        <v>291565245</v>
      </c>
      <c r="H42" s="31">
        <f t="shared" si="15"/>
        <v>2956491508</v>
      </c>
      <c r="I42" s="31">
        <f t="shared" si="16"/>
        <v>344000336</v>
      </c>
      <c r="J42" s="31">
        <f t="shared" si="11"/>
        <v>23117961</v>
      </c>
      <c r="K42" s="31">
        <f>0</f>
        <v>0</v>
      </c>
      <c r="L42" s="31">
        <f t="shared" si="12"/>
        <v>3657711158</v>
      </c>
      <c r="P42" s="31">
        <f t="shared" si="17"/>
        <v>1969242582</v>
      </c>
    </row>
    <row r="43" spans="2:16" ht="13.5" customHeight="1" x14ac:dyDescent="0.25">
      <c r="B43" s="32">
        <v>38</v>
      </c>
      <c r="C43" s="33">
        <f t="shared" si="9"/>
        <v>1359733412</v>
      </c>
      <c r="D43" s="33">
        <f t="shared" si="13"/>
        <v>4096459305</v>
      </c>
      <c r="E43" s="33">
        <f t="shared" si="14"/>
        <v>3915411701</v>
      </c>
      <c r="F43" s="33">
        <f t="shared" si="10"/>
        <v>1969242582</v>
      </c>
      <c r="G43" s="33">
        <f t="shared" si="10"/>
        <v>518379474</v>
      </c>
      <c r="H43" s="31">
        <f t="shared" si="15"/>
        <v>2237678910</v>
      </c>
      <c r="I43" s="31">
        <f t="shared" si="16"/>
        <v>620773846</v>
      </c>
      <c r="J43" s="31">
        <f t="shared" si="11"/>
        <v>283214336</v>
      </c>
      <c r="K43" s="31">
        <f>0</f>
        <v>0</v>
      </c>
      <c r="L43" s="31">
        <f t="shared" si="12"/>
        <v>3456390611</v>
      </c>
      <c r="P43" s="31">
        <f t="shared" si="17"/>
        <v>3915411701</v>
      </c>
    </row>
    <row r="44" spans="2:16" ht="13.5" customHeight="1" x14ac:dyDescent="0.25">
      <c r="B44" s="32">
        <v>39</v>
      </c>
      <c r="C44" s="33">
        <f t="shared" si="9"/>
        <v>498995632</v>
      </c>
      <c r="D44" s="33">
        <f t="shared" si="13"/>
        <v>1359733412</v>
      </c>
      <c r="E44" s="33">
        <f t="shared" si="14"/>
        <v>2097856650</v>
      </c>
      <c r="F44" s="33">
        <f t="shared" si="10"/>
        <v>3915411701</v>
      </c>
      <c r="G44" s="33">
        <f t="shared" si="10"/>
        <v>1969242582</v>
      </c>
      <c r="H44" s="31">
        <f t="shared" si="15"/>
        <v>561796234</v>
      </c>
      <c r="I44" s="31">
        <f t="shared" si="16"/>
        <v>3760193569</v>
      </c>
      <c r="J44" s="31">
        <f t="shared" si="11"/>
        <v>356532436</v>
      </c>
      <c r="K44" s="31">
        <f>0</f>
        <v>0</v>
      </c>
      <c r="L44" s="31">
        <f t="shared" si="12"/>
        <v>1747661578</v>
      </c>
      <c r="P44" s="31">
        <f t="shared" si="17"/>
        <v>2097856650</v>
      </c>
    </row>
    <row r="45" spans="2:16" ht="13.5" customHeight="1" x14ac:dyDescent="0.25">
      <c r="B45" s="32">
        <v>40</v>
      </c>
      <c r="C45" s="33">
        <f t="shared" si="9"/>
        <v>1499324315</v>
      </c>
      <c r="D45" s="33">
        <f t="shared" si="13"/>
        <v>498995632</v>
      </c>
      <c r="E45" s="33">
        <f t="shared" si="14"/>
        <v>339933353</v>
      </c>
      <c r="F45" s="33">
        <f t="shared" si="10"/>
        <v>2097856650</v>
      </c>
      <c r="G45" s="33">
        <f t="shared" si="10"/>
        <v>3915411701</v>
      </c>
      <c r="H45" s="31">
        <f t="shared" si="15"/>
        <v>3082958339</v>
      </c>
      <c r="I45" s="31">
        <f t="shared" si="16"/>
        <v>1359659136</v>
      </c>
      <c r="J45" s="31">
        <f t="shared" si="11"/>
        <v>671096868</v>
      </c>
      <c r="K45" s="31">
        <f>0</f>
        <v>0</v>
      </c>
      <c r="L45" s="31">
        <f t="shared" si="12"/>
        <v>3311489755</v>
      </c>
      <c r="P45" s="31">
        <f t="shared" si="17"/>
        <v>339933353</v>
      </c>
    </row>
    <row r="46" spans="2:16" ht="13.5" customHeight="1" x14ac:dyDescent="0.25">
      <c r="B46" s="34">
        <v>41</v>
      </c>
      <c r="C46" s="35">
        <f t="shared" ref="C46:C65" si="18">MOD(H46+M46+G45+2400959708+BF240,4294967296)</f>
        <v>231804922</v>
      </c>
      <c r="D46" s="35">
        <f t="shared" si="13"/>
        <v>1499324315</v>
      </c>
      <c r="E46" s="35">
        <f t="shared" si="14"/>
        <v>124748908</v>
      </c>
      <c r="F46" s="35">
        <f t="shared" ref="F46:G65" si="19">E45</f>
        <v>339933353</v>
      </c>
      <c r="G46" s="35">
        <f t="shared" si="19"/>
        <v>2097856650</v>
      </c>
      <c r="H46" s="31">
        <f t="shared" si="15"/>
        <v>733737835</v>
      </c>
      <c r="I46" s="31">
        <f t="shared" si="16"/>
        <v>335679648</v>
      </c>
      <c r="J46" s="31">
        <f t="shared" ref="J46:J65" si="20">((MOD(INT(MOD(INT((D45)/1),256)/2^0),2)*MOD(INT(MOD(INT((F45)/1),256)/2^0),2)*1+MOD(INT(MOD(INT((D45)/1),256)/2^1),2)*MOD(INT(MOD(INT((F45)/1),256)/2^1),2)*2+MOD(INT(MOD(INT((D45)/1),256)/2^2),2)*MOD(INT(MOD(INT((F45)/1),256)/2^2),2)*4+MOD(INT(MOD(INT((D45)/1),256)/2^3),2)*MOD(INT(MOD(INT((F45)/1),256)/2^3),2)*8+MOD(INT(MOD(INT((D45)/1),256)/2^4),2)*MOD(INT(MOD(INT((F45)/1),256)/2^4),2)*16+MOD(INT(MOD(INT((D45)/1),256)/2^5),2)*MOD(INT(MOD(INT((F45)/1),256)/2^5),2)*32+MOD(INT(MOD(INT((D45)/1),256)/2^6),2)*MOD(INT(MOD(INT((F45)/1),256)/2^6),2)*64+MOD(INT(MOD(INT((D45)/1),256)/2^7),2)*MOD(INT(MOD(INT((F45)/1),256)/2^7),2)*128)*1+(MOD(INT(MOD(INT((D45)/256),256)/2^0),2)*MOD(INT(MOD(INT((F45)/256),256)/2^0),2)*1+MOD(INT(MOD(INT((D45)/256),256)/2^1),2)*MOD(INT(MOD(INT((F45)/256),256)/2^1),2)*2+MOD(INT(MOD(INT((D45)/256),256)/2^2),2)*MOD(INT(MOD(INT((F45)/256),256)/2^2),2)*4+MOD(INT(MOD(INT((D45)/256),256)/2^3),2)*MOD(INT(MOD(INT((F45)/256),256)/2^3),2)*8+MOD(INT(MOD(INT((D45)/256),256)/2^4),2)*MOD(INT(MOD(INT((F45)/256),256)/2^4),2)*16+MOD(INT(MOD(INT((D45)/256),256)/2^5),2)*MOD(INT(MOD(INT((F45)/256),256)/2^5),2)*32+MOD(INT(MOD(INT((D45)/256),256)/2^6),2)*MOD(INT(MOD(INT((F45)/256),256)/2^6),2)*64+MOD(INT(MOD(INT((D45)/256),256)/2^7),2)*MOD(INT(MOD(INT((F45)/256),256)/2^7),2)*128)*256+(MOD(INT(MOD(INT((D45)/65536),256)/2^0),2)*MOD(INT(MOD(INT((F45)/65536),256)/2^0),2)*1+MOD(INT(MOD(INT((D45)/65536),256)/2^1),2)*MOD(INT(MOD(INT((F45)/65536),256)/2^1),2)*2+MOD(INT(MOD(INT((D45)/65536),256)/2^2),2)*MOD(INT(MOD(INT((F45)/65536),256)/2^2),2)*4+MOD(INT(MOD(INT((D45)/65536),256)/2^3),2)*MOD(INT(MOD(INT((F45)/65536),256)/2^3),2)*8+MOD(INT(MOD(INT((D45)/65536),256)/2^4),2)*MOD(INT(MOD(INT((F45)/65536),256)/2^4),2)*16+MOD(INT(MOD(INT((D45)/65536),256)/2^5),2)*MOD(INT(MOD(INT((F45)/65536),256)/2^5),2)*32+MOD(INT(MOD(INT((D45)/65536),256)/2^6),2)*MOD(INT(MOD(INT((F45)/65536),256)/2^6),2)*64+MOD(INT(MOD(INT((D45)/65536),256)/2^7),2)*MOD(INT(MOD(INT((F45)/65536),256)/2^7),2)*128)*65536+(MOD(INT(MOD(INT((D45)/16777216),256)/2^0),2)*MOD(INT(MOD(INT((F45)/16777216),256)/2^0),2)*1+MOD(INT(MOD(INT((D45)/16777216),256)/2^1),2)*MOD(INT(MOD(INT((F45)/16777216),256)/2^1),2)*2+MOD(INT(MOD(INT((D45)/16777216),256)/2^2),2)*MOD(INT(MOD(INT((F45)/16777216),256)/2^2),2)*4+MOD(INT(MOD(INT((D45)/16777216),256)/2^3),2)*MOD(INT(MOD(INT((F45)/16777216),256)/2^3),2)*8+MOD(INT(MOD(INT((D45)/16777216),256)/2^4),2)*MOD(INT(MOD(INT((F45)/16777216),256)/2^4),2)*16+MOD(INT(MOD(INT((D45)/16777216),256)/2^5),2)*MOD(INT(MOD(INT((F45)/16777216),256)/2^5),2)*32+MOD(INT(MOD(INT((D45)/16777216),256)/2^6),2)*MOD(INT(MOD(INT((F45)/16777216),256)/2^6),2)*64+MOD(INT(MOD(INT((D45)/16777216),256)/2^7),2)*MOD(INT(MOD(INT((F45)/16777216),256)/2^7),2)*128)*16777216)</f>
        <v>487194752</v>
      </c>
      <c r="K46" s="31">
        <f t="shared" ref="K46:K65" si="21">((MOD(INT(MOD(INT((E45)/1),256)/2^0),2)*MOD(INT(MOD(INT((F45)/1),256)/2^0),2)*1+MOD(INT(MOD(INT((E45)/1),256)/2^1),2)*MOD(INT(MOD(INT((F45)/1),256)/2^1),2)*2+MOD(INT(MOD(INT((E45)/1),256)/2^2),2)*MOD(INT(MOD(INT((F45)/1),256)/2^2),2)*4+MOD(INT(MOD(INT((E45)/1),256)/2^3),2)*MOD(INT(MOD(INT((F45)/1),256)/2^3),2)*8+MOD(INT(MOD(INT((E45)/1),256)/2^4),2)*MOD(INT(MOD(INT((F45)/1),256)/2^4),2)*16+MOD(INT(MOD(INT((E45)/1),256)/2^5),2)*MOD(INT(MOD(INT((F45)/1),256)/2^5),2)*32+MOD(INT(MOD(INT((E45)/1),256)/2^6),2)*MOD(INT(MOD(INT((F45)/1),256)/2^6),2)*64+MOD(INT(MOD(INT((E45)/1),256)/2^7),2)*MOD(INT(MOD(INT((F45)/1),256)/2^7),2)*128)*1+(MOD(INT(MOD(INT((E45)/256),256)/2^0),2)*MOD(INT(MOD(INT((F45)/256),256)/2^0),2)*1+MOD(INT(MOD(INT((E45)/256),256)/2^1),2)*MOD(INT(MOD(INT((F45)/256),256)/2^1),2)*2+MOD(INT(MOD(INT((E45)/256),256)/2^2),2)*MOD(INT(MOD(INT((F45)/256),256)/2^2),2)*4+MOD(INT(MOD(INT((E45)/256),256)/2^3),2)*MOD(INT(MOD(INT((F45)/256),256)/2^3),2)*8+MOD(INT(MOD(INT((E45)/256),256)/2^4),2)*MOD(INT(MOD(INT((F45)/256),256)/2^4),2)*16+MOD(INT(MOD(INT((E45)/256),256)/2^5),2)*MOD(INT(MOD(INT((F45)/256),256)/2^5),2)*32+MOD(INT(MOD(INT((E45)/256),256)/2^6),2)*MOD(INT(MOD(INT((F45)/256),256)/2^6),2)*64+MOD(INT(MOD(INT((E45)/256),256)/2^7),2)*MOD(INT(MOD(INT((F45)/256),256)/2^7),2)*128)*256+(MOD(INT(MOD(INT((E45)/65536),256)/2^0),2)*MOD(INT(MOD(INT((F45)/65536),256)/2^0),2)*1+MOD(INT(MOD(INT((E45)/65536),256)/2^1),2)*MOD(INT(MOD(INT((F45)/65536),256)/2^1),2)*2+MOD(INT(MOD(INT((E45)/65536),256)/2^2),2)*MOD(INT(MOD(INT((F45)/65536),256)/2^2),2)*4+MOD(INT(MOD(INT((E45)/65536),256)/2^3),2)*MOD(INT(MOD(INT((F45)/65536),256)/2^3),2)*8+MOD(INT(MOD(INT((E45)/65536),256)/2^4),2)*MOD(INT(MOD(INT((F45)/65536),256)/2^4),2)*16+MOD(INT(MOD(INT((E45)/65536),256)/2^5),2)*MOD(INT(MOD(INT((F45)/65536),256)/2^5),2)*32+MOD(INT(MOD(INT((E45)/65536),256)/2^6),2)*MOD(INT(MOD(INT((F45)/65536),256)/2^6),2)*64+MOD(INT(MOD(INT((E45)/65536),256)/2^7),2)*MOD(INT(MOD(INT((F45)/65536),256)/2^7),2)*128)*65536+(MOD(INT(MOD(INT((E45)/16777216),256)/2^0),2)*MOD(INT(MOD(INT((F45)/16777216),256)/2^0),2)*1+MOD(INT(MOD(INT((E45)/16777216),256)/2^1),2)*MOD(INT(MOD(INT((F45)/16777216),256)/2^1),2)*2+MOD(INT(MOD(INT((E45)/16777216),256)/2^2),2)*MOD(INT(MOD(INT((F45)/16777216),256)/2^2),2)*4+MOD(INT(MOD(INT((E45)/16777216),256)/2^3),2)*MOD(INT(MOD(INT((F45)/16777216),256)/2^3),2)*8+MOD(INT(MOD(INT((E45)/16777216),256)/2^4),2)*MOD(INT(MOD(INT((F45)/16777216),256)/2^4),2)*16+MOD(INT(MOD(INT((E45)/16777216),256)/2^5),2)*MOD(INT(MOD(INT((F45)/16777216),256)/2^5),2)*32+MOD(INT(MOD(INT((E45)/16777216),256)/2^6),2)*MOD(INT(MOD(INT((F45)/16777216),256)/2^6),2)*64+MOD(INT(MOD(INT((E45)/16777216),256)/2^7),2)*MOD(INT(MOD(INT((F45)/16777216),256)/2^7),2)*128)*16777216)</f>
        <v>335724680</v>
      </c>
      <c r="L46" s="31">
        <f t="shared" ref="L46:L65" si="22">((MOD(INT(MOD(INT((I46)/1),256)/2^0),2)*MOD(INT(MOD(INT((K46)/1),256)/2^0),2)*1+MOD(INT(MOD(INT((I46)/1),256)/2^1),2)*MOD(INT(MOD(INT((K46)/1),256)/2^1),2)*2+MOD(INT(MOD(INT((I46)/1),256)/2^2),2)*MOD(INT(MOD(INT((K46)/1),256)/2^2),2)*4+MOD(INT(MOD(INT((I46)/1),256)/2^3),2)*MOD(INT(MOD(INT((K46)/1),256)/2^3),2)*8+MOD(INT(MOD(INT((I46)/1),256)/2^4),2)*MOD(INT(MOD(INT((K46)/1),256)/2^4),2)*16+MOD(INT(MOD(INT((I46)/1),256)/2^5),2)*MOD(INT(MOD(INT((K46)/1),256)/2^5),2)*32+MOD(INT(MOD(INT((I46)/1),256)/2^6),2)*MOD(INT(MOD(INT((K46)/1),256)/2^6),2)*64+MOD(INT(MOD(INT((I46)/1),256)/2^7),2)*MOD(INT(MOD(INT((K46)/1),256)/2^7),2)*128)*1+(MOD(INT(MOD(INT((I46)/256),256)/2^0),2)*MOD(INT(MOD(INT((K46)/256),256)/2^0),2)*1+MOD(INT(MOD(INT((I46)/256),256)/2^1),2)*MOD(INT(MOD(INT((K46)/256),256)/2^1),2)*2+MOD(INT(MOD(INT((I46)/256),256)/2^2),2)*MOD(INT(MOD(INT((K46)/256),256)/2^2),2)*4+MOD(INT(MOD(INT((I46)/256),256)/2^3),2)*MOD(INT(MOD(INT((K46)/256),256)/2^3),2)*8+MOD(INT(MOD(INT((I46)/256),256)/2^4),2)*MOD(INT(MOD(INT((K46)/256),256)/2^4),2)*16+MOD(INT(MOD(INT((I46)/256),256)/2^5),2)*MOD(INT(MOD(INT((K46)/256),256)/2^5),2)*32+MOD(INT(MOD(INT((I46)/256),256)/2^6),2)*MOD(INT(MOD(INT((K46)/256),256)/2^6),2)*64+MOD(INT(MOD(INT((I46)/256),256)/2^7),2)*MOD(INT(MOD(INT((K46)/256),256)/2^7),2)*128)*256+(MOD(INT(MOD(INT((I46)/65536),256)/2^0),2)*MOD(INT(MOD(INT((K46)/65536),256)/2^0),2)*1+MOD(INT(MOD(INT((I46)/65536),256)/2^1),2)*MOD(INT(MOD(INT((K46)/65536),256)/2^1),2)*2+MOD(INT(MOD(INT((I46)/65536),256)/2^2),2)*MOD(INT(MOD(INT((K46)/65536),256)/2^2),2)*4+MOD(INT(MOD(INT((I46)/65536),256)/2^3),2)*MOD(INT(MOD(INT((K46)/65536),256)/2^3),2)*8+MOD(INT(MOD(INT((I46)/65536),256)/2^4),2)*MOD(INT(MOD(INT((K46)/65536),256)/2^4),2)*16+MOD(INT(MOD(INT((I46)/65536),256)/2^5),2)*MOD(INT(MOD(INT((K46)/65536),256)/2^5),2)*32+MOD(INT(MOD(INT((I46)/65536),256)/2^6),2)*MOD(INT(MOD(INT((K46)/65536),256)/2^6),2)*64+MOD(INT(MOD(INT((I46)/65536),256)/2^7),2)*MOD(INT(MOD(INT((K46)/65536),256)/2^7),2)*128)*65536+(MOD(INT(MOD(INT((I46)/16777216),256)/2^0),2)*MOD(INT(MOD(INT((K46)/16777216),256)/2^0),2)*1+MOD(INT(MOD(INT((I46)/16777216),256)/2^1),2)*MOD(INT(MOD(INT((K46)/16777216),256)/2^1),2)*2+MOD(INT(MOD(INT((I46)/16777216),256)/2^2),2)*MOD(INT(MOD(INT((K46)/16777216),256)/2^2),2)*4+MOD(INT(MOD(INT((I46)/16777216),256)/2^3),2)*MOD(INT(MOD(INT((K46)/16777216),256)/2^3),2)*8+MOD(INT(MOD(INT((I46)/16777216),256)/2^4),2)*MOD(INT(MOD(INT((K46)/16777216),256)/2^4),2)*16+MOD(INT(MOD(INT((I46)/16777216),256)/2^5),2)*MOD(INT(MOD(INT((K46)/16777216),256)/2^5),2)*32+MOD(INT(MOD(INT((I46)/16777216),256)/2^6),2)*MOD(INT(MOD(INT((K46)/16777216),256)/2^6),2)*64+MOD(INT(MOD(INT((I46)/16777216),256)/2^7),2)*MOD(INT(MOD(INT((K46)/16777216),256)/2^7),2)*128)*16777216)</f>
        <v>335675520</v>
      </c>
      <c r="M46" s="31">
        <f t="shared" ref="M46:M65" si="23">MOD(I46+J46+K46-2*L46,4294967296)</f>
        <v>487248040</v>
      </c>
      <c r="P46" s="31">
        <f t="shared" si="17"/>
        <v>124748908</v>
      </c>
    </row>
    <row r="47" spans="2:16" ht="13.5" customHeight="1" x14ac:dyDescent="0.25">
      <c r="B47" s="34">
        <v>42</v>
      </c>
      <c r="C47" s="35">
        <f t="shared" si="18"/>
        <v>3549981481</v>
      </c>
      <c r="D47" s="35">
        <f t="shared" si="13"/>
        <v>231804922</v>
      </c>
      <c r="E47" s="35">
        <f t="shared" si="14"/>
        <v>3596056550</v>
      </c>
      <c r="F47" s="35">
        <f t="shared" si="19"/>
        <v>124748908</v>
      </c>
      <c r="G47" s="35">
        <f t="shared" si="19"/>
        <v>339933353</v>
      </c>
      <c r="H47" s="31">
        <f t="shared" si="15"/>
        <v>3122790209</v>
      </c>
      <c r="I47" s="31">
        <f t="shared" si="16"/>
        <v>21857288</v>
      </c>
      <c r="J47" s="31">
        <f t="shared" si="20"/>
        <v>272685193</v>
      </c>
      <c r="K47" s="31">
        <f t="shared" si="21"/>
        <v>71467048</v>
      </c>
      <c r="L47" s="31">
        <f t="shared" si="22"/>
        <v>4227080</v>
      </c>
      <c r="M47" s="31">
        <f t="shared" si="23"/>
        <v>357555369</v>
      </c>
      <c r="P47" s="31">
        <f t="shared" si="17"/>
        <v>3596056550</v>
      </c>
    </row>
    <row r="48" spans="2:16" ht="13.5" customHeight="1" x14ac:dyDescent="0.25">
      <c r="B48" s="34">
        <v>43</v>
      </c>
      <c r="C48" s="35">
        <f t="shared" si="18"/>
        <v>2583317023</v>
      </c>
      <c r="D48" s="35">
        <f t="shared" si="13"/>
        <v>3549981481</v>
      </c>
      <c r="E48" s="35">
        <f t="shared" si="14"/>
        <v>2205434878</v>
      </c>
      <c r="F48" s="35">
        <f t="shared" si="19"/>
        <v>3596056550</v>
      </c>
      <c r="G48" s="35">
        <f t="shared" si="19"/>
        <v>124748908</v>
      </c>
      <c r="H48" s="31">
        <f t="shared" si="15"/>
        <v>1930257722</v>
      </c>
      <c r="I48" s="31">
        <f t="shared" si="16"/>
        <v>72419298</v>
      </c>
      <c r="J48" s="31">
        <f t="shared" si="20"/>
        <v>88147048</v>
      </c>
      <c r="K48" s="31">
        <f t="shared" si="21"/>
        <v>105317476</v>
      </c>
      <c r="L48" s="31">
        <f t="shared" si="22"/>
        <v>71369824</v>
      </c>
      <c r="M48" s="31">
        <f t="shared" si="23"/>
        <v>123144174</v>
      </c>
      <c r="P48" s="31">
        <f t="shared" si="17"/>
        <v>2205434878</v>
      </c>
    </row>
    <row r="49" spans="2:16" ht="13.5" customHeight="1" x14ac:dyDescent="0.25">
      <c r="B49" s="34">
        <v>44</v>
      </c>
      <c r="C49" s="35">
        <f t="shared" si="18"/>
        <v>2665129886</v>
      </c>
      <c r="D49" s="35">
        <f t="shared" si="13"/>
        <v>2583317023</v>
      </c>
      <c r="E49" s="35">
        <f t="shared" si="14"/>
        <v>1961237194</v>
      </c>
      <c r="F49" s="35">
        <f t="shared" si="19"/>
        <v>2205434878</v>
      </c>
      <c r="G49" s="35">
        <f t="shared" si="19"/>
        <v>3596056550</v>
      </c>
      <c r="H49" s="31">
        <f t="shared" si="15"/>
        <v>1061766131</v>
      </c>
      <c r="I49" s="31">
        <f t="shared" si="16"/>
        <v>2198881064</v>
      </c>
      <c r="J49" s="31">
        <f t="shared" si="20"/>
        <v>3524289312</v>
      </c>
      <c r="K49" s="31">
        <f t="shared" si="21"/>
        <v>2186560486</v>
      </c>
      <c r="L49" s="31">
        <f t="shared" si="22"/>
        <v>2182103840</v>
      </c>
      <c r="M49" s="31">
        <f t="shared" si="23"/>
        <v>3545523182</v>
      </c>
      <c r="P49" s="31">
        <f t="shared" si="17"/>
        <v>1961237194</v>
      </c>
    </row>
    <row r="50" spans="2:16" ht="13.5" customHeight="1" x14ac:dyDescent="0.25">
      <c r="B50" s="34">
        <v>45</v>
      </c>
      <c r="C50" s="35">
        <f t="shared" si="18"/>
        <v>998556518</v>
      </c>
      <c r="D50" s="35">
        <f t="shared" si="13"/>
        <v>2665129886</v>
      </c>
      <c r="E50" s="35">
        <f t="shared" si="14"/>
        <v>3867054727</v>
      </c>
      <c r="F50" s="35">
        <f t="shared" si="19"/>
        <v>1961237194</v>
      </c>
      <c r="G50" s="35">
        <f t="shared" si="19"/>
        <v>2205434878</v>
      </c>
      <c r="H50" s="31">
        <f t="shared" si="15"/>
        <v>3679777747</v>
      </c>
      <c r="I50" s="31">
        <f t="shared" si="16"/>
        <v>283249162</v>
      </c>
      <c r="J50" s="31">
        <f t="shared" si="20"/>
        <v>2171617822</v>
      </c>
      <c r="K50" s="31">
        <f t="shared" si="21"/>
        <v>6554314</v>
      </c>
      <c r="L50" s="31">
        <f t="shared" si="22"/>
        <v>6291978</v>
      </c>
      <c r="M50" s="31">
        <f t="shared" si="23"/>
        <v>2448837342</v>
      </c>
      <c r="P50" s="31">
        <f t="shared" si="17"/>
        <v>3867054727</v>
      </c>
    </row>
    <row r="51" spans="2:16" ht="13.5" customHeight="1" x14ac:dyDescent="0.25">
      <c r="B51" s="34">
        <v>46</v>
      </c>
      <c r="C51" s="35">
        <f t="shared" si="18"/>
        <v>3592921502</v>
      </c>
      <c r="D51" s="35">
        <f t="shared" si="13"/>
        <v>998556518</v>
      </c>
      <c r="E51" s="35">
        <f t="shared" si="14"/>
        <v>2813766119</v>
      </c>
      <c r="F51" s="35">
        <f t="shared" si="19"/>
        <v>3867054727</v>
      </c>
      <c r="G51" s="35">
        <f t="shared" si="19"/>
        <v>1961237194</v>
      </c>
      <c r="H51" s="31">
        <f t="shared" si="15"/>
        <v>1889037511</v>
      </c>
      <c r="I51" s="31">
        <f t="shared" si="16"/>
        <v>2254078598</v>
      </c>
      <c r="J51" s="31">
        <f t="shared" si="20"/>
        <v>348258954</v>
      </c>
      <c r="K51" s="31">
        <f t="shared" si="21"/>
        <v>1684411010</v>
      </c>
      <c r="L51" s="31">
        <f t="shared" si="22"/>
        <v>71434882</v>
      </c>
      <c r="M51" s="31">
        <f t="shared" si="23"/>
        <v>4143878798</v>
      </c>
      <c r="P51" s="31">
        <f t="shared" si="17"/>
        <v>2813766119</v>
      </c>
    </row>
    <row r="52" spans="2:16" ht="13.5" customHeight="1" x14ac:dyDescent="0.25">
      <c r="B52" s="34">
        <v>47</v>
      </c>
      <c r="C52" s="35">
        <f t="shared" si="18"/>
        <v>501366828</v>
      </c>
      <c r="D52" s="35">
        <f t="shared" si="13"/>
        <v>3592921502</v>
      </c>
      <c r="E52" s="35">
        <f t="shared" si="14"/>
        <v>2397122777</v>
      </c>
      <c r="F52" s="35">
        <f t="shared" si="19"/>
        <v>2813766119</v>
      </c>
      <c r="G52" s="35">
        <f t="shared" si="19"/>
        <v>3867054727</v>
      </c>
      <c r="H52" s="31">
        <f t="shared" si="15"/>
        <v>3304338394</v>
      </c>
      <c r="I52" s="31">
        <f t="shared" si="16"/>
        <v>595886438</v>
      </c>
      <c r="J52" s="31">
        <f t="shared" si="20"/>
        <v>570720774</v>
      </c>
      <c r="K52" s="31">
        <f t="shared" si="21"/>
        <v>2788589703</v>
      </c>
      <c r="L52" s="31">
        <f t="shared" si="22"/>
        <v>570720262</v>
      </c>
      <c r="M52" s="31">
        <f t="shared" si="23"/>
        <v>2813756391</v>
      </c>
      <c r="P52" s="31">
        <f t="shared" si="17"/>
        <v>2397122777</v>
      </c>
    </row>
    <row r="53" spans="2:16" ht="13.5" customHeight="1" x14ac:dyDescent="0.25">
      <c r="B53" s="34">
        <v>48</v>
      </c>
      <c r="C53" s="35">
        <f t="shared" si="18"/>
        <v>3552896377</v>
      </c>
      <c r="D53" s="35">
        <f t="shared" si="13"/>
        <v>501366828</v>
      </c>
      <c r="E53" s="35">
        <f t="shared" si="14"/>
        <v>3045714023</v>
      </c>
      <c r="F53" s="35">
        <f t="shared" si="19"/>
        <v>2397122777</v>
      </c>
      <c r="G53" s="35">
        <f t="shared" si="19"/>
        <v>2813766119</v>
      </c>
      <c r="H53" s="31">
        <f t="shared" si="15"/>
        <v>3158836611</v>
      </c>
      <c r="I53" s="31">
        <f t="shared" si="16"/>
        <v>2250317976</v>
      </c>
      <c r="J53" s="31">
        <f t="shared" si="20"/>
        <v>2250678662</v>
      </c>
      <c r="K53" s="31">
        <f t="shared" si="21"/>
        <v>2258641089</v>
      </c>
      <c r="L53" s="31">
        <f t="shared" si="22"/>
        <v>2250252416</v>
      </c>
      <c r="M53" s="31">
        <f t="shared" si="23"/>
        <v>2259132895</v>
      </c>
      <c r="P53" s="31">
        <f t="shared" si="17"/>
        <v>3045714023</v>
      </c>
    </row>
    <row r="54" spans="2:16" ht="13.5" customHeight="1" x14ac:dyDescent="0.25">
      <c r="B54" s="34">
        <v>49</v>
      </c>
      <c r="C54" s="35">
        <f t="shared" si="18"/>
        <v>2388470770</v>
      </c>
      <c r="D54" s="35">
        <f t="shared" si="13"/>
        <v>3552896377</v>
      </c>
      <c r="E54" s="35">
        <f t="shared" si="14"/>
        <v>125341707</v>
      </c>
      <c r="F54" s="35">
        <f t="shared" si="19"/>
        <v>3045714023</v>
      </c>
      <c r="G54" s="35">
        <f t="shared" si="19"/>
        <v>2397122777</v>
      </c>
      <c r="H54" s="31">
        <f t="shared" si="15"/>
        <v>2023534394</v>
      </c>
      <c r="I54" s="31">
        <f t="shared" si="16"/>
        <v>360726564</v>
      </c>
      <c r="J54" s="31">
        <f t="shared" si="20"/>
        <v>216006664</v>
      </c>
      <c r="K54" s="31">
        <f t="shared" si="21"/>
        <v>2223054913</v>
      </c>
      <c r="L54" s="31">
        <f t="shared" si="22"/>
        <v>75497472</v>
      </c>
      <c r="M54" s="31">
        <f t="shared" si="23"/>
        <v>2648793197</v>
      </c>
      <c r="P54" s="31">
        <f t="shared" si="17"/>
        <v>125341707</v>
      </c>
    </row>
    <row r="55" spans="2:16" ht="13.5" customHeight="1" x14ac:dyDescent="0.25">
      <c r="B55" s="34">
        <v>50</v>
      </c>
      <c r="C55" s="35">
        <f t="shared" si="18"/>
        <v>607264720</v>
      </c>
      <c r="D55" s="35">
        <f t="shared" si="13"/>
        <v>2388470770</v>
      </c>
      <c r="E55" s="35">
        <f t="shared" si="14"/>
        <v>1961965918</v>
      </c>
      <c r="F55" s="35">
        <f t="shared" si="19"/>
        <v>125341707</v>
      </c>
      <c r="G55" s="35">
        <f t="shared" si="19"/>
        <v>3045714023</v>
      </c>
      <c r="H55" s="31">
        <f t="shared" si="15"/>
        <v>3416620625</v>
      </c>
      <c r="I55" s="31">
        <f t="shared" si="16"/>
        <v>54558729</v>
      </c>
      <c r="J55" s="31">
        <f t="shared" si="20"/>
        <v>2441142369</v>
      </c>
      <c r="K55" s="31">
        <f t="shared" si="21"/>
        <v>84443139</v>
      </c>
      <c r="L55" s="31">
        <f t="shared" si="22"/>
        <v>16809985</v>
      </c>
      <c r="M55" s="31">
        <f t="shared" si="23"/>
        <v>2546524267</v>
      </c>
      <c r="P55" s="31">
        <f t="shared" si="17"/>
        <v>1961965918</v>
      </c>
    </row>
    <row r="56" spans="2:16" ht="13.5" customHeight="1" x14ac:dyDescent="0.25">
      <c r="B56" s="34">
        <v>51</v>
      </c>
      <c r="C56" s="35">
        <f t="shared" si="18"/>
        <v>919553905</v>
      </c>
      <c r="D56" s="35">
        <f t="shared" si="13"/>
        <v>607264720</v>
      </c>
      <c r="E56" s="35">
        <f t="shared" si="14"/>
        <v>2744601340</v>
      </c>
      <c r="F56" s="35">
        <f t="shared" si="19"/>
        <v>1961965918</v>
      </c>
      <c r="G56" s="35">
        <f t="shared" si="19"/>
        <v>125341707</v>
      </c>
      <c r="H56" s="31">
        <f t="shared" si="15"/>
        <v>2252601860</v>
      </c>
      <c r="I56" s="31">
        <f t="shared" si="16"/>
        <v>72427858</v>
      </c>
      <c r="J56" s="31">
        <f t="shared" si="20"/>
        <v>106430466</v>
      </c>
      <c r="K56" s="31">
        <f t="shared" si="21"/>
        <v>74453002</v>
      </c>
      <c r="L56" s="31">
        <f t="shared" si="22"/>
        <v>72351746</v>
      </c>
      <c r="M56" s="31">
        <f t="shared" si="23"/>
        <v>108607834</v>
      </c>
      <c r="P56" s="31">
        <f t="shared" si="17"/>
        <v>2744601340</v>
      </c>
    </row>
    <row r="57" spans="2:16" ht="13.5" customHeight="1" x14ac:dyDescent="0.25">
      <c r="B57" s="34">
        <v>52</v>
      </c>
      <c r="C57" s="35">
        <f t="shared" si="18"/>
        <v>3024068572</v>
      </c>
      <c r="D57" s="35">
        <f t="shared" si="13"/>
        <v>919553905</v>
      </c>
      <c r="E57" s="35">
        <f t="shared" si="14"/>
        <v>151816180</v>
      </c>
      <c r="F57" s="35">
        <f t="shared" si="19"/>
        <v>2744601340</v>
      </c>
      <c r="G57" s="35">
        <f t="shared" si="19"/>
        <v>1961965918</v>
      </c>
      <c r="H57" s="31">
        <f t="shared" si="15"/>
        <v>3655921190</v>
      </c>
      <c r="I57" s="31">
        <f t="shared" si="16"/>
        <v>538053328</v>
      </c>
      <c r="J57" s="31">
        <f t="shared" si="20"/>
        <v>607131984</v>
      </c>
      <c r="K57" s="31">
        <f t="shared" si="21"/>
        <v>546375772</v>
      </c>
      <c r="L57" s="31">
        <f t="shared" si="22"/>
        <v>537921616</v>
      </c>
      <c r="M57" s="31">
        <f t="shared" si="23"/>
        <v>615717852</v>
      </c>
      <c r="P57" s="31">
        <f t="shared" si="17"/>
        <v>151816180</v>
      </c>
    </row>
    <row r="58" spans="2:16" ht="13.5" customHeight="1" x14ac:dyDescent="0.25">
      <c r="B58" s="34">
        <v>53</v>
      </c>
      <c r="C58" s="35">
        <f t="shared" si="18"/>
        <v>105341315</v>
      </c>
      <c r="D58" s="35">
        <f t="shared" si="13"/>
        <v>3024068572</v>
      </c>
      <c r="E58" s="35">
        <f t="shared" si="14"/>
        <v>1303630300</v>
      </c>
      <c r="F58" s="35">
        <f t="shared" si="19"/>
        <v>151816180</v>
      </c>
      <c r="G58" s="35">
        <f t="shared" si="19"/>
        <v>2744601340</v>
      </c>
      <c r="H58" s="31">
        <f t="shared" si="15"/>
        <v>2280913814</v>
      </c>
      <c r="I58" s="31">
        <f t="shared" si="16"/>
        <v>788336</v>
      </c>
      <c r="J58" s="31">
        <f t="shared" si="20"/>
        <v>579289712</v>
      </c>
      <c r="K58" s="31">
        <f t="shared" si="21"/>
        <v>17040116</v>
      </c>
      <c r="L58" s="31">
        <f t="shared" si="22"/>
        <v>262768</v>
      </c>
      <c r="M58" s="31">
        <f t="shared" si="23"/>
        <v>596592628</v>
      </c>
      <c r="P58" s="31">
        <f t="shared" si="17"/>
        <v>1303630300</v>
      </c>
    </row>
    <row r="59" spans="2:16" ht="13.5" customHeight="1" x14ac:dyDescent="0.25">
      <c r="B59" s="34">
        <v>54</v>
      </c>
      <c r="C59" s="35">
        <f t="shared" si="18"/>
        <v>2162157485</v>
      </c>
      <c r="D59" s="35">
        <f t="shared" si="13"/>
        <v>105341315</v>
      </c>
      <c r="E59" s="35">
        <f t="shared" si="14"/>
        <v>756017143</v>
      </c>
      <c r="F59" s="35">
        <f t="shared" si="19"/>
        <v>1303630300</v>
      </c>
      <c r="G59" s="35">
        <f t="shared" si="19"/>
        <v>151816180</v>
      </c>
      <c r="H59" s="31">
        <f t="shared" si="15"/>
        <v>3370922080</v>
      </c>
      <c r="I59" s="31">
        <f t="shared" si="16"/>
        <v>70488540</v>
      </c>
      <c r="J59" s="31">
        <f t="shared" si="20"/>
        <v>821204</v>
      </c>
      <c r="K59" s="31">
        <f t="shared" si="21"/>
        <v>151028180</v>
      </c>
      <c r="L59" s="31">
        <f t="shared" si="22"/>
        <v>33236</v>
      </c>
      <c r="M59" s="31">
        <f t="shared" si="23"/>
        <v>222271452</v>
      </c>
      <c r="P59" s="31">
        <f t="shared" si="17"/>
        <v>756017143</v>
      </c>
    </row>
    <row r="60" spans="2:16" ht="13.5" customHeight="1" x14ac:dyDescent="0.25">
      <c r="B60" s="34">
        <v>55</v>
      </c>
      <c r="C60" s="35">
        <f t="shared" si="18"/>
        <v>3002162538</v>
      </c>
      <c r="D60" s="35">
        <f t="shared" si="13"/>
        <v>2162157485</v>
      </c>
      <c r="E60" s="35">
        <f t="shared" si="14"/>
        <v>3247560800</v>
      </c>
      <c r="F60" s="35">
        <f t="shared" si="19"/>
        <v>756017143</v>
      </c>
      <c r="G60" s="35">
        <f t="shared" si="19"/>
        <v>1303630300</v>
      </c>
      <c r="H60" s="31">
        <f t="shared" si="15"/>
        <v>469562800</v>
      </c>
      <c r="I60" s="31">
        <f t="shared" si="16"/>
        <v>67592579</v>
      </c>
      <c r="J60" s="31">
        <f t="shared" si="20"/>
        <v>67322240</v>
      </c>
      <c r="K60" s="31">
        <f t="shared" si="21"/>
        <v>218350036</v>
      </c>
      <c r="L60" s="31">
        <f t="shared" si="22"/>
        <v>67322240</v>
      </c>
      <c r="M60" s="31">
        <f t="shared" si="23"/>
        <v>218620375</v>
      </c>
      <c r="P60" s="31">
        <f t="shared" si="17"/>
        <v>3247560800</v>
      </c>
    </row>
    <row r="61" spans="2:16" ht="13.5" customHeight="1" x14ac:dyDescent="0.25">
      <c r="B61" s="34">
        <v>56</v>
      </c>
      <c r="C61" s="35">
        <f t="shared" si="18"/>
        <v>1471612699</v>
      </c>
      <c r="D61" s="35">
        <f t="shared" si="13"/>
        <v>3002162538</v>
      </c>
      <c r="E61" s="35">
        <f t="shared" si="14"/>
        <v>1614281195</v>
      </c>
      <c r="F61" s="35">
        <f t="shared" si="19"/>
        <v>3247560800</v>
      </c>
      <c r="G61" s="35">
        <f t="shared" si="19"/>
        <v>756017143</v>
      </c>
      <c r="H61" s="31">
        <f t="shared" si="15"/>
        <v>1579920726</v>
      </c>
      <c r="I61" s="31">
        <f t="shared" si="16"/>
        <v>2157035552</v>
      </c>
      <c r="J61" s="31">
        <f t="shared" si="20"/>
        <v>1042341</v>
      </c>
      <c r="K61" s="31">
        <f t="shared" si="21"/>
        <v>16892000</v>
      </c>
      <c r="L61" s="31">
        <f t="shared" si="22"/>
        <v>114720</v>
      </c>
      <c r="M61" s="31">
        <f t="shared" si="23"/>
        <v>2174740453</v>
      </c>
      <c r="P61" s="31">
        <f t="shared" si="17"/>
        <v>1614281195</v>
      </c>
    </row>
    <row r="62" spans="2:16" ht="13.5" customHeight="1" x14ac:dyDescent="0.25">
      <c r="B62" s="34">
        <v>57</v>
      </c>
      <c r="C62" s="35">
        <f t="shared" si="18"/>
        <v>2804390033</v>
      </c>
      <c r="D62" s="35">
        <f t="shared" si="13"/>
        <v>1471612699</v>
      </c>
      <c r="E62" s="35">
        <f t="shared" si="14"/>
        <v>2898024282</v>
      </c>
      <c r="F62" s="35">
        <f t="shared" si="19"/>
        <v>1614281195</v>
      </c>
      <c r="G62" s="35">
        <f t="shared" si="19"/>
        <v>3247560800</v>
      </c>
      <c r="H62" s="31">
        <f t="shared" si="15"/>
        <v>4141933418</v>
      </c>
      <c r="I62" s="31">
        <f t="shared" si="16"/>
        <v>540105066</v>
      </c>
      <c r="J62" s="31">
        <f t="shared" si="20"/>
        <v>2157008992</v>
      </c>
      <c r="K62" s="31">
        <f t="shared" si="21"/>
        <v>1074911328</v>
      </c>
      <c r="L62" s="31">
        <f t="shared" si="22"/>
        <v>1136736</v>
      </c>
      <c r="M62" s="31">
        <f t="shared" si="23"/>
        <v>3769751914</v>
      </c>
      <c r="P62" s="31">
        <f t="shared" si="17"/>
        <v>2898024282</v>
      </c>
    </row>
    <row r="63" spans="2:16" ht="13.5" customHeight="1" x14ac:dyDescent="0.25">
      <c r="B63" s="34">
        <v>58</v>
      </c>
      <c r="C63" s="35">
        <f t="shared" si="18"/>
        <v>1472101003</v>
      </c>
      <c r="D63" s="35">
        <f t="shared" si="13"/>
        <v>2804390033</v>
      </c>
      <c r="E63" s="35">
        <f t="shared" si="14"/>
        <v>3589128646</v>
      </c>
      <c r="F63" s="35">
        <f t="shared" si="19"/>
        <v>2898024282</v>
      </c>
      <c r="G63" s="35">
        <f t="shared" si="19"/>
        <v>1614281195</v>
      </c>
      <c r="H63" s="31">
        <f t="shared" si="15"/>
        <v>3841135156</v>
      </c>
      <c r="I63" s="31">
        <f t="shared" si="16"/>
        <v>78907162</v>
      </c>
      <c r="J63" s="31">
        <f t="shared" si="20"/>
        <v>1077346571</v>
      </c>
      <c r="K63" s="31">
        <f t="shared" si="21"/>
        <v>540299594</v>
      </c>
      <c r="L63" s="31">
        <f t="shared" si="22"/>
        <v>3408138</v>
      </c>
      <c r="M63" s="31">
        <f t="shared" si="23"/>
        <v>1689737051</v>
      </c>
      <c r="P63" s="31">
        <f t="shared" si="17"/>
        <v>3589128646</v>
      </c>
    </row>
    <row r="64" spans="2:16" ht="13.5" customHeight="1" x14ac:dyDescent="0.25">
      <c r="B64" s="34">
        <v>59</v>
      </c>
      <c r="C64" s="35">
        <f t="shared" si="18"/>
        <v>1641981174</v>
      </c>
      <c r="D64" s="35">
        <f t="shared" si="13"/>
        <v>1472101003</v>
      </c>
      <c r="E64" s="35">
        <f t="shared" si="14"/>
        <v>1774839332</v>
      </c>
      <c r="F64" s="35">
        <f t="shared" si="19"/>
        <v>3589128646</v>
      </c>
      <c r="G64" s="35">
        <f t="shared" si="19"/>
        <v>2898024282</v>
      </c>
      <c r="H64" s="31">
        <f t="shared" si="15"/>
        <v>4157559146</v>
      </c>
      <c r="I64" s="31">
        <f t="shared" si="16"/>
        <v>2233827456</v>
      </c>
      <c r="J64" s="31">
        <f t="shared" si="20"/>
        <v>2753826832</v>
      </c>
      <c r="K64" s="31">
        <f t="shared" si="21"/>
        <v>2225881410</v>
      </c>
      <c r="L64" s="31">
        <f t="shared" si="22"/>
        <v>2216951808</v>
      </c>
      <c r="M64" s="31">
        <f t="shared" si="23"/>
        <v>2779632082</v>
      </c>
      <c r="P64" s="31">
        <f t="shared" si="17"/>
        <v>1774839332</v>
      </c>
    </row>
    <row r="65" spans="2:16" ht="13.5" customHeight="1" x14ac:dyDescent="0.25">
      <c r="B65" s="34">
        <v>60</v>
      </c>
      <c r="C65" s="35">
        <f t="shared" si="18"/>
        <v>424236943</v>
      </c>
      <c r="D65" s="35">
        <f t="shared" si="13"/>
        <v>1641981174</v>
      </c>
      <c r="E65" s="35">
        <f t="shared" si="14"/>
        <v>3589250722</v>
      </c>
      <c r="F65" s="35">
        <f t="shared" si="19"/>
        <v>1774839332</v>
      </c>
      <c r="G65" s="35">
        <f t="shared" si="19"/>
        <v>3589128646</v>
      </c>
      <c r="H65" s="31">
        <f t="shared" si="15"/>
        <v>1003790028</v>
      </c>
      <c r="I65" s="31">
        <f t="shared" si="16"/>
        <v>1099457024</v>
      </c>
      <c r="J65" s="31">
        <f t="shared" si="20"/>
        <v>1437352066</v>
      </c>
      <c r="K65" s="31">
        <f t="shared" si="21"/>
        <v>1103740932</v>
      </c>
      <c r="L65" s="31">
        <f t="shared" si="22"/>
        <v>1099448320</v>
      </c>
      <c r="M65" s="31">
        <f t="shared" si="23"/>
        <v>1441653382</v>
      </c>
      <c r="P65" s="31">
        <f t="shared" si="17"/>
        <v>3589250722</v>
      </c>
    </row>
    <row r="66" spans="2:16" ht="13.5" customHeight="1" x14ac:dyDescent="0.25">
      <c r="B66" s="36">
        <v>61</v>
      </c>
      <c r="C66" s="37">
        <f t="shared" ref="C66:C85" si="24">MOD(H66+L66+G65+3395469782+BF260,4294967296)</f>
        <v>62494849</v>
      </c>
      <c r="D66" s="37">
        <f t="shared" si="13"/>
        <v>424236943</v>
      </c>
      <c r="E66" s="37">
        <f t="shared" si="14"/>
        <v>2557978941</v>
      </c>
      <c r="F66" s="37">
        <f t="shared" ref="F66:G85" si="25">E65</f>
        <v>3589250722</v>
      </c>
      <c r="G66" s="37">
        <f t="shared" si="25"/>
        <v>1774839332</v>
      </c>
      <c r="H66" s="31">
        <f t="shared" si="15"/>
        <v>690680291</v>
      </c>
      <c r="I66" s="31">
        <f t="shared" si="16"/>
        <v>1104053410</v>
      </c>
      <c r="J66" s="31">
        <f t="shared" ref="J66:J85" si="26">((MOD(INT(MOD(INT((MOD(D65+E65-2*I66,4294967296))/1),256)/2^0),2)*MOD(INT(MOD(INT((F65)/1),256)/2^0),2)*1+MOD(INT(MOD(INT((MOD(D65+E65-2*I66,4294967296))/1),256)/2^1),2)*MOD(INT(MOD(INT((F65)/1),256)/2^1),2)*2+MOD(INT(MOD(INT((MOD(D65+E65-2*I66,4294967296))/1),256)/2^2),2)*MOD(INT(MOD(INT((F65)/1),256)/2^2),2)*4+MOD(INT(MOD(INT((MOD(D65+E65-2*I66,4294967296))/1),256)/2^3),2)*MOD(INT(MOD(INT((F65)/1),256)/2^3),2)*8+MOD(INT(MOD(INT((MOD(D65+E65-2*I66,4294967296))/1),256)/2^4),2)*MOD(INT(MOD(INT((F65)/1),256)/2^4),2)*16+MOD(INT(MOD(INT((MOD(D65+E65-2*I66,4294967296))/1),256)/2^5),2)*MOD(INT(MOD(INT((F65)/1),256)/2^5),2)*32+MOD(INT(MOD(INT((MOD(D65+E65-2*I66,4294967296))/1),256)/2^6),2)*MOD(INT(MOD(INT((F65)/1),256)/2^6),2)*64+MOD(INT(MOD(INT((MOD(D65+E65-2*I66,4294967296))/1),256)/2^7),2)*MOD(INT(MOD(INT((F65)/1),256)/2^7),2)*128)*1+(MOD(INT(MOD(INT((MOD(D65+E65-2*I66,4294967296))/256),256)/2^0),2)*MOD(INT(MOD(INT((F65)/256),256)/2^0),2)*1+MOD(INT(MOD(INT((MOD(D65+E65-2*I66,4294967296))/256),256)/2^1),2)*MOD(INT(MOD(INT((F65)/256),256)/2^1),2)*2+MOD(INT(MOD(INT((MOD(D65+E65-2*I66,4294967296))/256),256)/2^2),2)*MOD(INT(MOD(INT((F65)/256),256)/2^2),2)*4+MOD(INT(MOD(INT((MOD(D65+E65-2*I66,4294967296))/256),256)/2^3),2)*MOD(INT(MOD(INT((F65)/256),256)/2^3),2)*8+MOD(INT(MOD(INT((MOD(D65+E65-2*I66,4294967296))/256),256)/2^4),2)*MOD(INT(MOD(INT((F65)/256),256)/2^4),2)*16+MOD(INT(MOD(INT((MOD(D65+E65-2*I66,4294967296))/256),256)/2^5),2)*MOD(INT(MOD(INT((F65)/256),256)/2^5),2)*32+MOD(INT(MOD(INT((MOD(D65+E65-2*I66,4294967296))/256),256)/2^6),2)*MOD(INT(MOD(INT((F65)/256),256)/2^6),2)*64+MOD(INT(MOD(INT((MOD(D65+E65-2*I66,4294967296))/256),256)/2^7),2)*MOD(INT(MOD(INT((F65)/256),256)/2^7),2)*128)*256+(MOD(INT(MOD(INT((MOD(D65+E65-2*I66,4294967296))/65536),256)/2^0),2)*MOD(INT(MOD(INT((F65)/65536),256)/2^0),2)*1+MOD(INT(MOD(INT((MOD(D65+E65-2*I66,4294967296))/65536),256)/2^1),2)*MOD(INT(MOD(INT((F65)/65536),256)/2^1),2)*2+MOD(INT(MOD(INT((MOD(D65+E65-2*I66,4294967296))/65536),256)/2^2),2)*MOD(INT(MOD(INT((F65)/65536),256)/2^2),2)*4+MOD(INT(MOD(INT((MOD(D65+E65-2*I66,4294967296))/65536),256)/2^3),2)*MOD(INT(MOD(INT((F65)/65536),256)/2^3),2)*8+MOD(INT(MOD(INT((MOD(D65+E65-2*I66,4294967296))/65536),256)/2^4),2)*MOD(INT(MOD(INT((F65)/65536),256)/2^4),2)*16+MOD(INT(MOD(INT((MOD(D65+E65-2*I66,4294967296))/65536),256)/2^5),2)*MOD(INT(MOD(INT((F65)/65536),256)/2^5),2)*32+MOD(INT(MOD(INT((MOD(D65+E65-2*I66,4294967296))/65536),256)/2^6),2)*MOD(INT(MOD(INT((F65)/65536),256)/2^6),2)*64+MOD(INT(MOD(INT((MOD(D65+E65-2*I66,4294967296))/65536),256)/2^7),2)*MOD(INT(MOD(INT((F65)/65536),256)/2^7),2)*128)*65536+(MOD(INT(MOD(INT((MOD(D65+E65-2*I66,4294967296))/16777216),256)/2^0),2)*MOD(INT(MOD(INT((F65)/16777216),256)/2^0),2)*1+MOD(INT(MOD(INT((MOD(D65+E65-2*I66,4294967296))/16777216),256)/2^1),2)*MOD(INT(MOD(INT((F65)/16777216),256)/2^1),2)*2+MOD(INT(MOD(INT((MOD(D65+E65-2*I66,4294967296))/16777216),256)/2^2),2)*MOD(INT(MOD(INT((F65)/16777216),256)/2^2),2)*4+MOD(INT(MOD(INT((MOD(D65+E65-2*I66,4294967296))/16777216),256)/2^3),2)*MOD(INT(MOD(INT((F65)/16777216),256)/2^3),2)*8+MOD(INT(MOD(INT((MOD(D65+E65-2*I66,4294967296))/16777216),256)/2^4),2)*MOD(INT(MOD(INT((F65)/16777216),256)/2^4),2)*16+MOD(INT(MOD(INT((MOD(D65+E65-2*I66,4294967296))/16777216),256)/2^5),2)*MOD(INT(MOD(INT((F65)/16777216),256)/2^5),2)*32+MOD(INT(MOD(INT((MOD(D65+E65-2*I66,4294967296))/16777216),256)/2^6),2)*MOD(INT(MOD(INT((F65)/16777216),256)/2^6),2)*64+MOD(INT(MOD(INT((MOD(D65+E65-2*I66,4294967296))/16777216),256)/2^7),2)*MOD(INT(MOD(INT((F65)/16777216),256)/2^7),2)*128)*16777216)</f>
        <v>536945156</v>
      </c>
      <c r="K66" s="31">
        <f>0</f>
        <v>0</v>
      </c>
      <c r="L66" s="31">
        <f t="shared" ref="L66:L85" si="27">MOD(MOD(D65+E65-2*I66,4294967296)+F65-2*J66,4294967296)</f>
        <v>3724074096</v>
      </c>
      <c r="P66" s="31">
        <f t="shared" si="17"/>
        <v>2557978941</v>
      </c>
    </row>
    <row r="67" spans="2:16" ht="13.5" customHeight="1" x14ac:dyDescent="0.25">
      <c r="B67" s="36">
        <v>62</v>
      </c>
      <c r="C67" s="37">
        <f t="shared" si="24"/>
        <v>3567140237</v>
      </c>
      <c r="D67" s="37">
        <f t="shared" si="13"/>
        <v>62494849</v>
      </c>
      <c r="E67" s="37">
        <f t="shared" si="14"/>
        <v>3327284707</v>
      </c>
      <c r="F67" s="37">
        <f t="shared" si="25"/>
        <v>2557978941</v>
      </c>
      <c r="G67" s="37">
        <f t="shared" si="25"/>
        <v>3589250722</v>
      </c>
      <c r="H67" s="31">
        <f t="shared" si="15"/>
        <v>1999835168</v>
      </c>
      <c r="I67" s="31">
        <f t="shared" si="16"/>
        <v>406913293</v>
      </c>
      <c r="J67" s="31">
        <f t="shared" si="26"/>
        <v>2167316130</v>
      </c>
      <c r="K67" s="31">
        <f>0</f>
        <v>0</v>
      </c>
      <c r="L67" s="31">
        <f t="shared" si="27"/>
        <v>1423007760</v>
      </c>
      <c r="P67" s="31">
        <f t="shared" si="17"/>
        <v>3327284707</v>
      </c>
    </row>
    <row r="68" spans="2:16" ht="13.5" customHeight="1" x14ac:dyDescent="0.25">
      <c r="B68" s="36">
        <v>63</v>
      </c>
      <c r="C68" s="37">
        <f t="shared" si="24"/>
        <v>1046315843</v>
      </c>
      <c r="D68" s="37">
        <f t="shared" si="13"/>
        <v>3567140237</v>
      </c>
      <c r="E68" s="37">
        <f t="shared" si="14"/>
        <v>1089365536</v>
      </c>
      <c r="F68" s="37">
        <f t="shared" si="25"/>
        <v>3327284707</v>
      </c>
      <c r="G68" s="37">
        <f t="shared" si="25"/>
        <v>2557978941</v>
      </c>
      <c r="H68" s="31">
        <f t="shared" si="15"/>
        <v>2479337914</v>
      </c>
      <c r="I68" s="31">
        <f t="shared" si="16"/>
        <v>34607233</v>
      </c>
      <c r="J68" s="31">
        <f t="shared" si="26"/>
        <v>2154006816</v>
      </c>
      <c r="K68" s="31">
        <f>0</f>
        <v>0</v>
      </c>
      <c r="L68" s="31">
        <f t="shared" si="27"/>
        <v>1570530399</v>
      </c>
      <c r="P68" s="31">
        <f t="shared" si="17"/>
        <v>1089365536</v>
      </c>
    </row>
    <row r="69" spans="2:16" ht="13.5" customHeight="1" x14ac:dyDescent="0.25">
      <c r="B69" s="36">
        <v>64</v>
      </c>
      <c r="C69" s="37">
        <f t="shared" si="24"/>
        <v>2113016426</v>
      </c>
      <c r="D69" s="37">
        <f t="shared" si="13"/>
        <v>1046315843</v>
      </c>
      <c r="E69" s="37">
        <f t="shared" si="14"/>
        <v>1965526883</v>
      </c>
      <c r="F69" s="37">
        <f t="shared" si="25"/>
        <v>1089365536</v>
      </c>
      <c r="G69" s="37">
        <f t="shared" si="25"/>
        <v>3327284707</v>
      </c>
      <c r="H69" s="31">
        <f t="shared" si="15"/>
        <v>3417335911</v>
      </c>
      <c r="I69" s="31">
        <f t="shared" si="16"/>
        <v>1083057152</v>
      </c>
      <c r="J69" s="31">
        <f t="shared" si="26"/>
        <v>2219856289</v>
      </c>
      <c r="K69" s="31">
        <f>0</f>
        <v>0</v>
      </c>
      <c r="L69" s="31">
        <f t="shared" si="27"/>
        <v>1377963598</v>
      </c>
      <c r="P69" s="31">
        <f t="shared" si="17"/>
        <v>1965526883</v>
      </c>
    </row>
    <row r="70" spans="2:16" ht="13.5" customHeight="1" x14ac:dyDescent="0.25">
      <c r="B70" s="36">
        <v>65</v>
      </c>
      <c r="C70" s="37">
        <f t="shared" si="24"/>
        <v>559243435</v>
      </c>
      <c r="D70" s="37">
        <f t="shared" ref="D70:D85" si="28">C69</f>
        <v>2113016426</v>
      </c>
      <c r="E70" s="37">
        <f t="shared" ref="E70:E85" si="29">P70</f>
        <v>3482804432</v>
      </c>
      <c r="F70" s="37">
        <f t="shared" si="25"/>
        <v>1965526883</v>
      </c>
      <c r="G70" s="37">
        <f t="shared" si="25"/>
        <v>1089365536</v>
      </c>
      <c r="H70" s="31">
        <f t="shared" ref="H70:H85" si="30">MOD(MOD(C69,2^27)*2^5+INT(C69/2^27),4294967296)</f>
        <v>3192016207</v>
      </c>
      <c r="I70" s="31">
        <f t="shared" ref="I70:I85" si="31">((MOD(INT(MOD(INT((D69)/1),256)/2^0),2)*MOD(INT(MOD(INT((E69)/1),256)/2^0),2)*1+MOD(INT(MOD(INT((D69)/1),256)/2^1),2)*MOD(INT(MOD(INT((E69)/1),256)/2^1),2)*2+MOD(INT(MOD(INT((D69)/1),256)/2^2),2)*MOD(INT(MOD(INT((E69)/1),256)/2^2),2)*4+MOD(INT(MOD(INT((D69)/1),256)/2^3),2)*MOD(INT(MOD(INT((E69)/1),256)/2^3),2)*8+MOD(INT(MOD(INT((D69)/1),256)/2^4),2)*MOD(INT(MOD(INT((E69)/1),256)/2^4),2)*16+MOD(INT(MOD(INT((D69)/1),256)/2^5),2)*MOD(INT(MOD(INT((E69)/1),256)/2^5),2)*32+MOD(INT(MOD(INT((D69)/1),256)/2^6),2)*MOD(INT(MOD(INT((E69)/1),256)/2^6),2)*64+MOD(INT(MOD(INT((D69)/1),256)/2^7),2)*MOD(INT(MOD(INT((E69)/1),256)/2^7),2)*128)*1+(MOD(INT(MOD(INT((D69)/256),256)/2^0),2)*MOD(INT(MOD(INT((E69)/256),256)/2^0),2)*1+MOD(INT(MOD(INT((D69)/256),256)/2^1),2)*MOD(INT(MOD(INT((E69)/256),256)/2^1),2)*2+MOD(INT(MOD(INT((D69)/256),256)/2^2),2)*MOD(INT(MOD(INT((E69)/256),256)/2^2),2)*4+MOD(INT(MOD(INT((D69)/256),256)/2^3),2)*MOD(INT(MOD(INT((E69)/256),256)/2^3),2)*8+MOD(INT(MOD(INT((D69)/256),256)/2^4),2)*MOD(INT(MOD(INT((E69)/256),256)/2^4),2)*16+MOD(INT(MOD(INT((D69)/256),256)/2^5),2)*MOD(INT(MOD(INT((E69)/256),256)/2^5),2)*32+MOD(INT(MOD(INT((D69)/256),256)/2^6),2)*MOD(INT(MOD(INT((E69)/256),256)/2^6),2)*64+MOD(INT(MOD(INT((D69)/256),256)/2^7),2)*MOD(INT(MOD(INT((E69)/256),256)/2^7),2)*128)*256+(MOD(INT(MOD(INT((D69)/65536),256)/2^0),2)*MOD(INT(MOD(INT((E69)/65536),256)/2^0),2)*1+MOD(INT(MOD(INT((D69)/65536),256)/2^1),2)*MOD(INT(MOD(INT((E69)/65536),256)/2^1),2)*2+MOD(INT(MOD(INT((D69)/65536),256)/2^2),2)*MOD(INT(MOD(INT((E69)/65536),256)/2^2),2)*4+MOD(INT(MOD(INT((D69)/65536),256)/2^3),2)*MOD(INT(MOD(INT((E69)/65536),256)/2^3),2)*8+MOD(INT(MOD(INT((D69)/65536),256)/2^4),2)*MOD(INT(MOD(INT((E69)/65536),256)/2^4),2)*16+MOD(INT(MOD(INT((D69)/65536),256)/2^5),2)*MOD(INT(MOD(INT((E69)/65536),256)/2^5),2)*32+MOD(INT(MOD(INT((D69)/65536),256)/2^6),2)*MOD(INT(MOD(INT((E69)/65536),256)/2^6),2)*64+MOD(INT(MOD(INT((D69)/65536),256)/2^7),2)*MOD(INT(MOD(INT((E69)/65536),256)/2^7),2)*128)*65536+(MOD(INT(MOD(INT((D69)/16777216),256)/2^0),2)*MOD(INT(MOD(INT((E69)/16777216),256)/2^0),2)*1+MOD(INT(MOD(INT((D69)/16777216),256)/2^1),2)*MOD(INT(MOD(INT((E69)/16777216),256)/2^1),2)*2+MOD(INT(MOD(INT((D69)/16777216),256)/2^2),2)*MOD(INT(MOD(INT((E69)/16777216),256)/2^2),2)*4+MOD(INT(MOD(INT((D69)/16777216),256)/2^3),2)*MOD(INT(MOD(INT((E69)/16777216),256)/2^3),2)*8+MOD(INT(MOD(INT((D69)/16777216),256)/2^4),2)*MOD(INT(MOD(INT((E69)/16777216),256)/2^4),2)*16+MOD(INT(MOD(INT((D69)/16777216),256)/2^5),2)*MOD(INT(MOD(INT((E69)/16777216),256)/2^5),2)*32+MOD(INT(MOD(INT((D69)/16777216),256)/2^6),2)*MOD(INT(MOD(INT((E69)/16777216),256)/2^6),2)*64+MOD(INT(MOD(INT((D69)/16777216),256)/2^7),2)*MOD(INT(MOD(INT((E69)/16777216),256)/2^7),2)*128)*16777216)</f>
        <v>872776515</v>
      </c>
      <c r="J70" s="31">
        <f t="shared" si="26"/>
        <v>1080689696</v>
      </c>
      <c r="K70" s="31">
        <f>0</f>
        <v>0</v>
      </c>
      <c r="L70" s="31">
        <f t="shared" si="27"/>
        <v>194275840</v>
      </c>
      <c r="P70" s="31">
        <f t="shared" ref="P70:P85" si="32">MOD(MOD(D69,2^2)*2^30+INT(D69/2^2),4294967296)</f>
        <v>3482804432</v>
      </c>
    </row>
    <row r="71" spans="2:16" ht="13.5" customHeight="1" x14ac:dyDescent="0.25">
      <c r="B71" s="36">
        <v>66</v>
      </c>
      <c r="C71" s="37">
        <f t="shared" si="24"/>
        <v>1431442672</v>
      </c>
      <c r="D71" s="37">
        <f t="shared" si="28"/>
        <v>559243435</v>
      </c>
      <c r="E71" s="37">
        <f t="shared" si="29"/>
        <v>2675737754</v>
      </c>
      <c r="F71" s="37">
        <f t="shared" si="25"/>
        <v>3482804432</v>
      </c>
      <c r="G71" s="37">
        <f t="shared" si="25"/>
        <v>1965526883</v>
      </c>
      <c r="H71" s="31">
        <f t="shared" si="30"/>
        <v>715920740</v>
      </c>
      <c r="I71" s="31">
        <f t="shared" si="31"/>
        <v>1301413952</v>
      </c>
      <c r="J71" s="31">
        <f t="shared" si="26"/>
        <v>807731746</v>
      </c>
      <c r="K71" s="31">
        <f>0</f>
        <v>0</v>
      </c>
      <c r="L71" s="31">
        <f t="shared" si="27"/>
        <v>3343056345</v>
      </c>
      <c r="P71" s="31">
        <f t="shared" si="32"/>
        <v>2675737754</v>
      </c>
    </row>
    <row r="72" spans="2:16" ht="13.5" customHeight="1" x14ac:dyDescent="0.25">
      <c r="B72" s="36">
        <v>67</v>
      </c>
      <c r="C72" s="37">
        <f t="shared" si="24"/>
        <v>2461194912</v>
      </c>
      <c r="D72" s="37">
        <f t="shared" si="28"/>
        <v>1431442672</v>
      </c>
      <c r="E72" s="37">
        <f t="shared" si="29"/>
        <v>3361036330</v>
      </c>
      <c r="F72" s="37">
        <f t="shared" si="25"/>
        <v>2675737754</v>
      </c>
      <c r="G72" s="37">
        <f t="shared" si="25"/>
        <v>3482804432</v>
      </c>
      <c r="H72" s="31">
        <f t="shared" si="30"/>
        <v>2856492554</v>
      </c>
      <c r="I72" s="31">
        <f t="shared" si="31"/>
        <v>22282378</v>
      </c>
      <c r="J72" s="31">
        <f t="shared" si="26"/>
        <v>2382454800</v>
      </c>
      <c r="K72" s="31">
        <f>0</f>
        <v>0</v>
      </c>
      <c r="L72" s="31">
        <f t="shared" si="27"/>
        <v>1908311265</v>
      </c>
      <c r="P72" s="31">
        <f t="shared" si="32"/>
        <v>3361036330</v>
      </c>
    </row>
    <row r="73" spans="2:16" ht="13.5" customHeight="1" x14ac:dyDescent="0.25">
      <c r="B73" s="36">
        <v>68</v>
      </c>
      <c r="C73" s="37">
        <f t="shared" si="24"/>
        <v>3349371029</v>
      </c>
      <c r="D73" s="37">
        <f t="shared" si="28"/>
        <v>2461194912</v>
      </c>
      <c r="E73" s="37">
        <f t="shared" si="29"/>
        <v>357860668</v>
      </c>
      <c r="F73" s="37">
        <f t="shared" si="25"/>
        <v>3361036330</v>
      </c>
      <c r="G73" s="37">
        <f t="shared" si="25"/>
        <v>2675737754</v>
      </c>
      <c r="H73" s="31">
        <f t="shared" si="30"/>
        <v>1448825874</v>
      </c>
      <c r="I73" s="31">
        <f t="shared" si="31"/>
        <v>1078988832</v>
      </c>
      <c r="J73" s="31">
        <f t="shared" si="26"/>
        <v>2634286234</v>
      </c>
      <c r="K73" s="31">
        <f>0</f>
        <v>0</v>
      </c>
      <c r="L73" s="31">
        <f t="shared" si="27"/>
        <v>41666624</v>
      </c>
      <c r="P73" s="31">
        <f t="shared" si="32"/>
        <v>357860668</v>
      </c>
    </row>
    <row r="74" spans="2:16" ht="13.5" customHeight="1" x14ac:dyDescent="0.25">
      <c r="B74" s="36">
        <v>69</v>
      </c>
      <c r="C74" s="37">
        <f t="shared" si="24"/>
        <v>4098708453</v>
      </c>
      <c r="D74" s="37">
        <f t="shared" si="28"/>
        <v>3349371029</v>
      </c>
      <c r="E74" s="37">
        <f t="shared" si="29"/>
        <v>615298728</v>
      </c>
      <c r="F74" s="37">
        <f t="shared" si="25"/>
        <v>357860668</v>
      </c>
      <c r="G74" s="37">
        <f t="shared" si="25"/>
        <v>3361036330</v>
      </c>
      <c r="H74" s="31">
        <f t="shared" si="30"/>
        <v>4100657848</v>
      </c>
      <c r="I74" s="31">
        <f t="shared" si="31"/>
        <v>269516832</v>
      </c>
      <c r="J74" s="31">
        <f t="shared" si="26"/>
        <v>2151962632</v>
      </c>
      <c r="K74" s="31">
        <f>0</f>
        <v>0</v>
      </c>
      <c r="L74" s="31">
        <f t="shared" si="27"/>
        <v>1337132982</v>
      </c>
      <c r="P74" s="31">
        <f t="shared" si="32"/>
        <v>615298728</v>
      </c>
    </row>
    <row r="75" spans="2:16" ht="13.5" customHeight="1" x14ac:dyDescent="0.25">
      <c r="B75" s="36">
        <v>70</v>
      </c>
      <c r="C75" s="37">
        <f t="shared" si="24"/>
        <v>325021979</v>
      </c>
      <c r="D75" s="37">
        <f t="shared" si="28"/>
        <v>4098708453</v>
      </c>
      <c r="E75" s="37">
        <f t="shared" si="29"/>
        <v>1911084581</v>
      </c>
      <c r="F75" s="37">
        <f t="shared" si="25"/>
        <v>615298728</v>
      </c>
      <c r="G75" s="37">
        <f t="shared" si="25"/>
        <v>357860668</v>
      </c>
      <c r="H75" s="31">
        <f t="shared" si="30"/>
        <v>2309651646</v>
      </c>
      <c r="I75" s="31">
        <f t="shared" si="31"/>
        <v>77598848</v>
      </c>
      <c r="J75" s="31">
        <f t="shared" si="26"/>
        <v>17073212</v>
      </c>
      <c r="K75" s="31">
        <f>0</f>
        <v>0</v>
      </c>
      <c r="L75" s="31">
        <f t="shared" si="27"/>
        <v>4133186305</v>
      </c>
      <c r="P75" s="31">
        <f t="shared" si="32"/>
        <v>1911084581</v>
      </c>
    </row>
    <row r="76" spans="2:16" ht="13.5" customHeight="1" x14ac:dyDescent="0.25">
      <c r="B76" s="36">
        <v>71</v>
      </c>
      <c r="C76" s="37">
        <f t="shared" si="24"/>
        <v>576676745</v>
      </c>
      <c r="D76" s="37">
        <f t="shared" si="28"/>
        <v>325021979</v>
      </c>
      <c r="E76" s="37">
        <f t="shared" si="29"/>
        <v>2098418937</v>
      </c>
      <c r="F76" s="37">
        <f t="shared" si="25"/>
        <v>1911084581</v>
      </c>
      <c r="G76" s="37">
        <f t="shared" si="25"/>
        <v>615298728</v>
      </c>
      <c r="H76" s="31">
        <f t="shared" si="30"/>
        <v>1810768738</v>
      </c>
      <c r="I76" s="31">
        <f t="shared" si="31"/>
        <v>1883787813</v>
      </c>
      <c r="J76" s="31">
        <f t="shared" si="26"/>
        <v>77890688</v>
      </c>
      <c r="K76" s="31">
        <f>0</f>
        <v>0</v>
      </c>
      <c r="L76" s="31">
        <f t="shared" si="27"/>
        <v>2701734760</v>
      </c>
      <c r="P76" s="31">
        <f t="shared" si="32"/>
        <v>2098418937</v>
      </c>
    </row>
    <row r="77" spans="2:16" ht="13.5" customHeight="1" x14ac:dyDescent="0.25">
      <c r="B77" s="36">
        <v>72</v>
      </c>
      <c r="C77" s="37">
        <f t="shared" si="24"/>
        <v>2509214724</v>
      </c>
      <c r="D77" s="37">
        <f t="shared" si="28"/>
        <v>576676745</v>
      </c>
      <c r="E77" s="37">
        <f t="shared" si="29"/>
        <v>3302480966</v>
      </c>
      <c r="F77" s="37">
        <f t="shared" si="25"/>
        <v>2098418937</v>
      </c>
      <c r="G77" s="37">
        <f t="shared" si="25"/>
        <v>1911084581</v>
      </c>
      <c r="H77" s="31">
        <f t="shared" si="30"/>
        <v>1273786660</v>
      </c>
      <c r="I77" s="31">
        <f t="shared" si="31"/>
        <v>286478361</v>
      </c>
      <c r="J77" s="31">
        <f t="shared" si="26"/>
        <v>1615332384</v>
      </c>
      <c r="K77" s="31">
        <f>0</f>
        <v>0</v>
      </c>
      <c r="L77" s="31">
        <f t="shared" si="27"/>
        <v>530904007</v>
      </c>
      <c r="P77" s="31">
        <f t="shared" si="32"/>
        <v>3302480966</v>
      </c>
    </row>
    <row r="78" spans="2:16" ht="13.5" customHeight="1" x14ac:dyDescent="0.25">
      <c r="B78" s="36">
        <v>73</v>
      </c>
      <c r="C78" s="37">
        <f t="shared" si="24"/>
        <v>2314340751</v>
      </c>
      <c r="D78" s="37">
        <f t="shared" si="28"/>
        <v>2509214724</v>
      </c>
      <c r="E78" s="37">
        <f t="shared" si="29"/>
        <v>1217911010</v>
      </c>
      <c r="F78" s="37">
        <f t="shared" si="25"/>
        <v>3302480966</v>
      </c>
      <c r="G78" s="37">
        <f t="shared" si="25"/>
        <v>2098418937</v>
      </c>
      <c r="H78" s="31">
        <f t="shared" si="30"/>
        <v>2985459858</v>
      </c>
      <c r="I78" s="31">
        <f t="shared" si="31"/>
        <v>5718016</v>
      </c>
      <c r="J78" s="31">
        <f t="shared" si="26"/>
        <v>1677726921</v>
      </c>
      <c r="K78" s="31">
        <f>0</f>
        <v>0</v>
      </c>
      <c r="L78" s="31">
        <f t="shared" si="27"/>
        <v>2610686774</v>
      </c>
      <c r="P78" s="31">
        <f t="shared" si="32"/>
        <v>1217911010</v>
      </c>
    </row>
    <row r="79" spans="2:16" ht="13.5" customHeight="1" x14ac:dyDescent="0.25">
      <c r="B79" s="36">
        <v>74</v>
      </c>
      <c r="C79" s="37">
        <f t="shared" si="24"/>
        <v>3596231951</v>
      </c>
      <c r="D79" s="37">
        <f t="shared" si="28"/>
        <v>2314340751</v>
      </c>
      <c r="E79" s="37">
        <f t="shared" si="29"/>
        <v>627303681</v>
      </c>
      <c r="F79" s="37">
        <f t="shared" si="25"/>
        <v>1217911010</v>
      </c>
      <c r="G79" s="37">
        <f t="shared" si="25"/>
        <v>3302480966</v>
      </c>
      <c r="H79" s="31">
        <f t="shared" si="30"/>
        <v>1044460017</v>
      </c>
      <c r="I79" s="31">
        <f t="shared" si="31"/>
        <v>8884224</v>
      </c>
      <c r="J79" s="31">
        <f t="shared" si="26"/>
        <v>3289402438</v>
      </c>
      <c r="K79" s="31">
        <f>0</f>
        <v>0</v>
      </c>
      <c r="L79" s="31">
        <f t="shared" si="27"/>
        <v>433033376</v>
      </c>
      <c r="P79" s="31">
        <f t="shared" si="32"/>
        <v>627303681</v>
      </c>
    </row>
    <row r="80" spans="2:16" ht="13.5" customHeight="1" x14ac:dyDescent="0.25">
      <c r="B80" s="36">
        <v>75</v>
      </c>
      <c r="C80" s="37">
        <f t="shared" si="24"/>
        <v>1200106895</v>
      </c>
      <c r="D80" s="37">
        <f t="shared" si="28"/>
        <v>3596231951</v>
      </c>
      <c r="E80" s="37">
        <f t="shared" si="29"/>
        <v>3799810659</v>
      </c>
      <c r="F80" s="37">
        <f t="shared" si="25"/>
        <v>627303681</v>
      </c>
      <c r="G80" s="37">
        <f t="shared" si="25"/>
        <v>1217911010</v>
      </c>
      <c r="H80" s="31">
        <f t="shared" si="30"/>
        <v>3410272762</v>
      </c>
      <c r="I80" s="31">
        <f t="shared" si="31"/>
        <v>23200001</v>
      </c>
      <c r="J80" s="31">
        <f t="shared" si="26"/>
        <v>143771778</v>
      </c>
      <c r="K80" s="31">
        <f>0</f>
        <v>0</v>
      </c>
      <c r="L80" s="31">
        <f t="shared" si="27"/>
        <v>3825611884</v>
      </c>
      <c r="P80" s="31">
        <f t="shared" si="32"/>
        <v>3799810659</v>
      </c>
    </row>
    <row r="81" spans="2:16" ht="13.5" customHeight="1" x14ac:dyDescent="0.25">
      <c r="B81" s="36">
        <v>76</v>
      </c>
      <c r="C81" s="37">
        <f t="shared" si="24"/>
        <v>2874770807</v>
      </c>
      <c r="D81" s="37">
        <f t="shared" si="28"/>
        <v>1200106895</v>
      </c>
      <c r="E81" s="37">
        <f t="shared" si="29"/>
        <v>4120283459</v>
      </c>
      <c r="F81" s="37">
        <f t="shared" si="25"/>
        <v>3799810659</v>
      </c>
      <c r="G81" s="37">
        <f t="shared" si="25"/>
        <v>627303681</v>
      </c>
      <c r="H81" s="31">
        <f t="shared" si="30"/>
        <v>4043682280</v>
      </c>
      <c r="I81" s="31">
        <f t="shared" si="31"/>
        <v>3260547075</v>
      </c>
      <c r="J81" s="31">
        <f t="shared" si="26"/>
        <v>606250240</v>
      </c>
      <c r="K81" s="31">
        <f>0</f>
        <v>0</v>
      </c>
      <c r="L81" s="31">
        <f t="shared" si="27"/>
        <v>289751661</v>
      </c>
      <c r="P81" s="31">
        <f t="shared" si="32"/>
        <v>4120283459</v>
      </c>
    </row>
    <row r="82" spans="2:16" ht="13.5" customHeight="1" x14ac:dyDescent="0.25">
      <c r="B82" s="36">
        <v>77</v>
      </c>
      <c r="C82" s="37">
        <f t="shared" si="24"/>
        <v>2891407756</v>
      </c>
      <c r="D82" s="37">
        <f t="shared" si="28"/>
        <v>2874770807</v>
      </c>
      <c r="E82" s="37">
        <f t="shared" si="29"/>
        <v>3521252195</v>
      </c>
      <c r="F82" s="37">
        <f t="shared" si="25"/>
        <v>4120283459</v>
      </c>
      <c r="G82" s="37">
        <f t="shared" si="25"/>
        <v>3799810659</v>
      </c>
      <c r="H82" s="31">
        <f t="shared" si="30"/>
        <v>1798352629</v>
      </c>
      <c r="I82" s="31">
        <f t="shared" si="31"/>
        <v>1166018819</v>
      </c>
      <c r="J82" s="31">
        <f t="shared" si="26"/>
        <v>2719776832</v>
      </c>
      <c r="K82" s="31">
        <f>0</f>
        <v>0</v>
      </c>
      <c r="L82" s="31">
        <f t="shared" si="27"/>
        <v>1348609711</v>
      </c>
      <c r="P82" s="31">
        <f t="shared" si="32"/>
        <v>3521252195</v>
      </c>
    </row>
    <row r="83" spans="2:16" ht="13.5" customHeight="1" x14ac:dyDescent="0.25">
      <c r="B83" s="36">
        <v>78</v>
      </c>
      <c r="C83" s="37">
        <f t="shared" si="24"/>
        <v>135267397</v>
      </c>
      <c r="D83" s="37">
        <f t="shared" si="28"/>
        <v>2891407756</v>
      </c>
      <c r="E83" s="37">
        <f t="shared" si="29"/>
        <v>3939918173</v>
      </c>
      <c r="F83" s="37">
        <f t="shared" si="25"/>
        <v>3521252195</v>
      </c>
      <c r="G83" s="37">
        <f t="shared" si="25"/>
        <v>4120283459</v>
      </c>
      <c r="H83" s="31">
        <f t="shared" si="30"/>
        <v>2330734997</v>
      </c>
      <c r="I83" s="31">
        <f t="shared" si="31"/>
        <v>2168455523</v>
      </c>
      <c r="J83" s="31">
        <f t="shared" si="26"/>
        <v>1888651264</v>
      </c>
      <c r="K83" s="31">
        <f>0</f>
        <v>0</v>
      </c>
      <c r="L83" s="31">
        <f t="shared" si="27"/>
        <v>2402092887</v>
      </c>
      <c r="P83" s="31">
        <f t="shared" si="32"/>
        <v>3939918173</v>
      </c>
    </row>
    <row r="84" spans="2:16" ht="13.5" customHeight="1" x14ac:dyDescent="0.25">
      <c r="B84" s="36">
        <v>79</v>
      </c>
      <c r="C84" s="37">
        <f t="shared" si="24"/>
        <v>3975691545</v>
      </c>
      <c r="D84" s="37">
        <f t="shared" si="28"/>
        <v>135267397</v>
      </c>
      <c r="E84" s="37">
        <f t="shared" si="29"/>
        <v>722851939</v>
      </c>
      <c r="F84" s="37">
        <f t="shared" si="25"/>
        <v>3939918173</v>
      </c>
      <c r="G84" s="37">
        <f t="shared" si="25"/>
        <v>3521252195</v>
      </c>
      <c r="H84" s="31">
        <f t="shared" si="30"/>
        <v>33589409</v>
      </c>
      <c r="I84" s="31">
        <f t="shared" si="31"/>
        <v>2824233228</v>
      </c>
      <c r="J84" s="31">
        <f t="shared" si="26"/>
        <v>1082130497</v>
      </c>
      <c r="K84" s="31">
        <f>0</f>
        <v>0</v>
      </c>
      <c r="L84" s="31">
        <f t="shared" si="27"/>
        <v>2539850674</v>
      </c>
      <c r="P84" s="31">
        <f t="shared" si="32"/>
        <v>722851939</v>
      </c>
    </row>
    <row r="85" spans="2:16" ht="13.5" customHeight="1" x14ac:dyDescent="0.25">
      <c r="B85" s="36">
        <v>80</v>
      </c>
      <c r="C85" s="37">
        <f t="shared" si="24"/>
        <v>1135584028</v>
      </c>
      <c r="D85" s="37">
        <f t="shared" si="28"/>
        <v>3975691545</v>
      </c>
      <c r="E85" s="37">
        <f t="shared" si="29"/>
        <v>1107558673</v>
      </c>
      <c r="F85" s="37">
        <f t="shared" si="25"/>
        <v>722851939</v>
      </c>
      <c r="G85" s="37">
        <f t="shared" si="25"/>
        <v>3939918173</v>
      </c>
      <c r="H85" s="31">
        <f t="shared" si="30"/>
        <v>2668077885</v>
      </c>
      <c r="I85" s="31">
        <f t="shared" si="31"/>
        <v>135266369</v>
      </c>
      <c r="J85" s="31">
        <f t="shared" si="26"/>
        <v>570703876</v>
      </c>
      <c r="K85" s="31">
        <f>0</f>
        <v>0</v>
      </c>
      <c r="L85" s="31">
        <f t="shared" si="27"/>
        <v>3386097019</v>
      </c>
      <c r="P85" s="31">
        <f t="shared" si="32"/>
        <v>1107558673</v>
      </c>
    </row>
    <row r="86" spans="2:16" ht="15.75" customHeight="1" x14ac:dyDescent="0.25">
      <c r="B86" s="16" t="s">
        <v>77</v>
      </c>
      <c r="C86" s="38">
        <f>MOD(C85+1732584193,4294967296)</f>
        <v>2868168221</v>
      </c>
      <c r="D86" s="38">
        <f>MOD(D85+4023233417,4294967296)</f>
        <v>3703957666</v>
      </c>
      <c r="E86" s="38">
        <f>MOD(E85+2562383102,4294967296)</f>
        <v>3669941775</v>
      </c>
      <c r="F86" s="38">
        <f>MOD(F85+271733878,4294967296)</f>
        <v>994585817</v>
      </c>
      <c r="G86" s="38">
        <f>MOD(G85+3285377520,4294967296)</f>
        <v>2930328397</v>
      </c>
    </row>
    <row r="200" spans="58:58" ht="12.75" customHeight="1" x14ac:dyDescent="0.25">
      <c r="BF200" s="39">
        <f>(IF(LEN('🔐 SHA-1'!B5)&gt;0,CODE(MID('🔐 SHA-1'!B5,1,1)),IF(LEN('🔐 SHA-1'!B5)=0,128,0)))*16777216+(IF(LEN('🔐 SHA-1'!B5)&gt;1,CODE(MID('🔐 SHA-1'!B5,2,1)),IF(LEN('🔐 SHA-1'!B5)=1,128,0)))*65536+(IF(LEN('🔐 SHA-1'!B5)&gt;2,CODE(MID('🔐 SHA-1'!B5,3,1)),IF(LEN('🔐 SHA-1'!B5)=2,128,0)))*256+(IF(LEN('🔐 SHA-1'!B5)&gt;3,CODE(MID('🔐 SHA-1'!B5,4,1)),IF(LEN('🔐 SHA-1'!B5)=3,128,0)))</f>
        <v>1751477356</v>
      </c>
    </row>
    <row r="201" spans="58:58" ht="12.75" customHeight="1" x14ac:dyDescent="0.25">
      <c r="BF201" s="39">
        <f>(IF(LEN('🔐 SHA-1'!B5)&gt;4,CODE(MID('🔐 SHA-1'!B5,5,1)),IF(LEN('🔐 SHA-1'!B5)=4,128,0)))*16777216+(IF(LEN('🔐 SHA-1'!B5)&gt;5,CODE(MID('🔐 SHA-1'!B5,6,1)),IF(LEN('🔐 SHA-1'!B5)=5,128,0)))*65536+(IF(LEN('🔐 SHA-1'!B5)&gt;6,CODE(MID('🔐 SHA-1'!B5,7,1)),IF(LEN('🔐 SHA-1'!B5)=6,128,0)))*256+(IF(LEN('🔐 SHA-1'!B5)=7,128,0))</f>
        <v>1870659584</v>
      </c>
    </row>
    <row r="202" spans="58:58" ht="12.75" customHeight="1" x14ac:dyDescent="0.25">
      <c r="BF202" s="39">
        <f t="shared" ref="BF202:BF213" si="33">(0)*16777216+(0)*65536+(0)*256+(0)</f>
        <v>0</v>
      </c>
    </row>
    <row r="203" spans="58:58" ht="12.75" customHeight="1" x14ac:dyDescent="0.25">
      <c r="BF203" s="39">
        <f t="shared" si="33"/>
        <v>0</v>
      </c>
    </row>
    <row r="204" spans="58:58" ht="12.75" customHeight="1" x14ac:dyDescent="0.25">
      <c r="BF204" s="39">
        <f t="shared" si="33"/>
        <v>0</v>
      </c>
    </row>
    <row r="205" spans="58:58" ht="12.75" customHeight="1" x14ac:dyDescent="0.25">
      <c r="BF205" s="39">
        <f t="shared" si="33"/>
        <v>0</v>
      </c>
    </row>
    <row r="206" spans="58:58" ht="12.75" customHeight="1" x14ac:dyDescent="0.25">
      <c r="BF206" s="39">
        <f t="shared" si="33"/>
        <v>0</v>
      </c>
    </row>
    <row r="207" spans="58:58" ht="12.75" customHeight="1" x14ac:dyDescent="0.25">
      <c r="BF207" s="39">
        <f t="shared" si="33"/>
        <v>0</v>
      </c>
    </row>
    <row r="208" spans="58:58" ht="12.75" customHeight="1" x14ac:dyDescent="0.25">
      <c r="BF208" s="39">
        <f t="shared" si="33"/>
        <v>0</v>
      </c>
    </row>
    <row r="209" spans="58:60" ht="12.75" customHeight="1" x14ac:dyDescent="0.25">
      <c r="BF209" s="39">
        <f t="shared" si="33"/>
        <v>0</v>
      </c>
    </row>
    <row r="210" spans="58:60" ht="12.75" customHeight="1" x14ac:dyDescent="0.25">
      <c r="BF210" s="39">
        <f t="shared" si="33"/>
        <v>0</v>
      </c>
    </row>
    <row r="211" spans="58:60" ht="12.75" customHeight="1" x14ac:dyDescent="0.25">
      <c r="BF211" s="39">
        <f t="shared" si="33"/>
        <v>0</v>
      </c>
    </row>
    <row r="212" spans="58:60" ht="12.75" customHeight="1" x14ac:dyDescent="0.25">
      <c r="BF212" s="39">
        <f t="shared" si="33"/>
        <v>0</v>
      </c>
    </row>
    <row r="213" spans="58:60" ht="12.75" customHeight="1" x14ac:dyDescent="0.25">
      <c r="BF213" s="39">
        <f t="shared" si="33"/>
        <v>0</v>
      </c>
    </row>
    <row r="214" spans="58:60" ht="12.75" customHeight="1" x14ac:dyDescent="0.25">
      <c r="BF214" s="39">
        <f>(INT(LEN('🔐 SHA-1'!B5)*8/2^56))*16777216+(MOD(INT(LEN('🔐 SHA-1'!B5)*8/2^48),256))*65536+(MOD(INT(LEN('🔐 SHA-1'!B5)*8/2^40),256))*256+(MOD(INT(LEN('🔐 SHA-1'!B5)*8/2^32),256))</f>
        <v>0</v>
      </c>
    </row>
    <row r="215" spans="58:60" ht="12.75" customHeight="1" x14ac:dyDescent="0.25">
      <c r="BF215" s="39">
        <f>(MOD(INT(LEN('🔐 SHA-1'!B5)*8/16777216),256))*16777216+(MOD(INT(LEN('🔐 SHA-1'!B5)*8/65536),256))*65536+(MOD(INT(LEN('🔐 SHA-1'!B5)*8/256),256))*256+(MOD(LEN('🔐 SHA-1'!B5)*8,256))</f>
        <v>40</v>
      </c>
    </row>
    <row r="216" spans="58:60" ht="12.75" customHeight="1" x14ac:dyDescent="0.25">
      <c r="BF216" s="40">
        <f t="shared" ref="BF216:BF247" si="34">MOD(MOD(MOD(BH216+BF200-2*((MOD(INT(MOD(INT((BH216)/1),256)/2^0),2)*MOD(INT(MOD(INT((BF200)/1),256)/2^0),2)*1+MOD(INT(MOD(INT((BH216)/1),256)/2^1),2)*MOD(INT(MOD(INT((BF200)/1),256)/2^1),2)*2+MOD(INT(MOD(INT((BH216)/1),256)/2^2),2)*MOD(INT(MOD(INT((BF200)/1),256)/2^2),2)*4+MOD(INT(MOD(INT((BH216)/1),256)/2^3),2)*MOD(INT(MOD(INT((BF200)/1),256)/2^3),2)*8+MOD(INT(MOD(INT((BH216)/1),256)/2^4),2)*MOD(INT(MOD(INT((BF200)/1),256)/2^4),2)*16+MOD(INT(MOD(INT((BH216)/1),256)/2^5),2)*MOD(INT(MOD(INT((BF200)/1),256)/2^5),2)*32+MOD(INT(MOD(INT((BH216)/1),256)/2^6),2)*MOD(INT(MOD(INT((BF200)/1),256)/2^6),2)*64+MOD(INT(MOD(INT((BH216)/1),256)/2^7),2)*MOD(INT(MOD(INT((BF200)/1),256)/2^7),2)*128)*1+(MOD(INT(MOD(INT((BH216)/256),256)/2^0),2)*MOD(INT(MOD(INT((BF200)/256),256)/2^0),2)*1+MOD(INT(MOD(INT((BH216)/256),256)/2^1),2)*MOD(INT(MOD(INT((BF200)/256),256)/2^1),2)*2+MOD(INT(MOD(INT((BH216)/256),256)/2^2),2)*MOD(INT(MOD(INT((BF200)/256),256)/2^2),2)*4+MOD(INT(MOD(INT((BH216)/256),256)/2^3),2)*MOD(INT(MOD(INT((BF200)/256),256)/2^3),2)*8+MOD(INT(MOD(INT((BH216)/256),256)/2^4),2)*MOD(INT(MOD(INT((BF200)/256),256)/2^4),2)*16+MOD(INT(MOD(INT((BH216)/256),256)/2^5),2)*MOD(INT(MOD(INT((BF200)/256),256)/2^5),2)*32+MOD(INT(MOD(INT((BH216)/256),256)/2^6),2)*MOD(INT(MOD(INT((BF200)/256),256)/2^6),2)*64+MOD(INT(MOD(INT((BH216)/256),256)/2^7),2)*MOD(INT(MOD(INT((BF200)/256),256)/2^7),2)*128)*256+(MOD(INT(MOD(INT((BH216)/65536),256)/2^0),2)*MOD(INT(MOD(INT((BF200)/65536),256)/2^0),2)*1+MOD(INT(MOD(INT((BH216)/65536),256)/2^1),2)*MOD(INT(MOD(INT((BF200)/65536),256)/2^1),2)*2+MOD(INT(MOD(INT((BH216)/65536),256)/2^2),2)*MOD(INT(MOD(INT((BF200)/65536),256)/2^2),2)*4+MOD(INT(MOD(INT((BH216)/65536),256)/2^3),2)*MOD(INT(MOD(INT((BF200)/65536),256)/2^3),2)*8+MOD(INT(MOD(INT((BH216)/65536),256)/2^4),2)*MOD(INT(MOD(INT((BF200)/65536),256)/2^4),2)*16+MOD(INT(MOD(INT((BH216)/65536),256)/2^5),2)*MOD(INT(MOD(INT((BF200)/65536),256)/2^5),2)*32+MOD(INT(MOD(INT((BH216)/65536),256)/2^6),2)*MOD(INT(MOD(INT((BF200)/65536),256)/2^6),2)*64+MOD(INT(MOD(INT((BH216)/65536),256)/2^7),2)*MOD(INT(MOD(INT((BF200)/65536),256)/2^7),2)*128)*65536+(MOD(INT(MOD(INT((BH216)/16777216),256)/2^0),2)*MOD(INT(MOD(INT((BF200)/16777216),256)/2^0),2)*1+MOD(INT(MOD(INT((BH216)/16777216),256)/2^1),2)*MOD(INT(MOD(INT((BF200)/16777216),256)/2^1),2)*2+MOD(INT(MOD(INT((BH216)/16777216),256)/2^2),2)*MOD(INT(MOD(INT((BF200)/16777216),256)/2^2),2)*4+MOD(INT(MOD(INT((BH216)/16777216),256)/2^3),2)*MOD(INT(MOD(INT((BF200)/16777216),256)/2^3),2)*8+MOD(INT(MOD(INT((BH216)/16777216),256)/2^4),2)*MOD(INT(MOD(INT((BF200)/16777216),256)/2^4),2)*16+MOD(INT(MOD(INT((BH216)/16777216),256)/2^5),2)*MOD(INT(MOD(INT((BF200)/16777216),256)/2^5),2)*32+MOD(INT(MOD(INT((BH216)/16777216),256)/2^6),2)*MOD(INT(MOD(INT((BF200)/16777216),256)/2^6),2)*64+MOD(INT(MOD(INT((BH216)/16777216),256)/2^7),2)*MOD(INT(MOD(INT((BF200)/16777216),256)/2^7),2)*128)*16777216),4294967296),2^31)*2^1+INT(MOD(BH216+BF200-2*((MOD(INT(MOD(INT((BH216)/1),256)/2^0),2)*MOD(INT(MOD(INT((BF200)/1),256)/2^0),2)*1+MOD(INT(MOD(INT((BH216)/1),256)/2^1),2)*MOD(INT(MOD(INT((BF200)/1),256)/2^1),2)*2+MOD(INT(MOD(INT((BH216)/1),256)/2^2),2)*MOD(INT(MOD(INT((BF200)/1),256)/2^2),2)*4+MOD(INT(MOD(INT((BH216)/1),256)/2^3),2)*MOD(INT(MOD(INT((BF200)/1),256)/2^3),2)*8+MOD(INT(MOD(INT((BH216)/1),256)/2^4),2)*MOD(INT(MOD(INT((BF200)/1),256)/2^4),2)*16+MOD(INT(MOD(INT((BH216)/1),256)/2^5),2)*MOD(INT(MOD(INT((BF200)/1),256)/2^5),2)*32+MOD(INT(MOD(INT((BH216)/1),256)/2^6),2)*MOD(INT(MOD(INT((BF200)/1),256)/2^6),2)*64+MOD(INT(MOD(INT((BH216)/1),256)/2^7),2)*MOD(INT(MOD(INT((BF200)/1),256)/2^7),2)*128)*1+(MOD(INT(MOD(INT((BH216)/256),256)/2^0),2)*MOD(INT(MOD(INT((BF200)/256),256)/2^0),2)*1+MOD(INT(MOD(INT((BH216)/256),256)/2^1),2)*MOD(INT(MOD(INT((BF200)/256),256)/2^1),2)*2+MOD(INT(MOD(INT((BH216)/256),256)/2^2),2)*MOD(INT(MOD(INT((BF200)/256),256)/2^2),2)*4+MOD(INT(MOD(INT((BH216)/256),256)/2^3),2)*MOD(INT(MOD(INT((BF200)/256),256)/2^3),2)*8+MOD(INT(MOD(INT((BH216)/256),256)/2^4),2)*MOD(INT(MOD(INT((BF200)/256),256)/2^4),2)*16+MOD(INT(MOD(INT((BH216)/256),256)/2^5),2)*MOD(INT(MOD(INT((BF200)/256),256)/2^5),2)*32+MOD(INT(MOD(INT((BH216)/256),256)/2^6),2)*MOD(INT(MOD(INT((BF200)/256),256)/2^6),2)*64+MOD(INT(MOD(INT((BH216)/256),256)/2^7),2)*MOD(INT(MOD(INT((BF200)/256),256)/2^7),2)*128)*256+(MOD(INT(MOD(INT((BH216)/65536),256)/2^0),2)*MOD(INT(MOD(INT((BF200)/65536),256)/2^0),2)*1+MOD(INT(MOD(INT((BH216)/65536),256)/2^1),2)*MOD(INT(MOD(INT((BF200)/65536),256)/2^1),2)*2+MOD(INT(MOD(INT((BH216)/65536),256)/2^2),2)*MOD(INT(MOD(INT((BF200)/65536),256)/2^2),2)*4+MOD(INT(MOD(INT((BH216)/65536),256)/2^3),2)*MOD(INT(MOD(INT((BF200)/65536),256)/2^3),2)*8+MOD(INT(MOD(INT((BH216)/65536),256)/2^4),2)*MOD(INT(MOD(INT((BF200)/65536),256)/2^4),2)*16+MOD(INT(MOD(INT((BH216)/65536),256)/2^5),2)*MOD(INT(MOD(INT((BF200)/65536),256)/2^5),2)*32+MOD(INT(MOD(INT((BH216)/65536),256)/2^6),2)*MOD(INT(MOD(INT((BF200)/65536),256)/2^6),2)*64+MOD(INT(MOD(INT((BH216)/65536),256)/2^7),2)*MOD(INT(MOD(INT((BF200)/65536),256)/2^7),2)*128)*65536+(MOD(INT(MOD(INT((BH216)/16777216),256)/2^0),2)*MOD(INT(MOD(INT((BF200)/16777216),256)/2^0),2)*1+MOD(INT(MOD(INT((BH216)/16777216),256)/2^1),2)*MOD(INT(MOD(INT((BF200)/16777216),256)/2^1),2)*2+MOD(INT(MOD(INT((BH216)/16777216),256)/2^2),2)*MOD(INT(MOD(INT((BF200)/16777216),256)/2^2),2)*4+MOD(INT(MOD(INT((BH216)/16777216),256)/2^3),2)*MOD(INT(MOD(INT((BF200)/16777216),256)/2^3),2)*8+MOD(INT(MOD(INT((BH216)/16777216),256)/2^4),2)*MOD(INT(MOD(INT((BF200)/16777216),256)/2^4),2)*16+MOD(INT(MOD(INT((BH216)/16777216),256)/2^5),2)*MOD(INT(MOD(INT((BF200)/16777216),256)/2^5),2)*32+MOD(INT(MOD(INT((BH216)/16777216),256)/2^6),2)*MOD(INT(MOD(INT((BF200)/16777216),256)/2^6),2)*64+MOD(INT(MOD(INT((BH216)/16777216),256)/2^7),2)*MOD(INT(MOD(INT((BF200)/16777216),256)/2^7),2)*128)*16777216),4294967296)/2^31),4294967296)</f>
        <v>3502954712</v>
      </c>
      <c r="BG216" s="41">
        <f t="shared" ref="BG216:BG247" si="35">MOD(BF213+BF208-2*((MOD(INT(MOD(INT((BF213)/1),256)/2^0),2)*MOD(INT(MOD(INT((BF208)/1),256)/2^0),2)*1+MOD(INT(MOD(INT((BF213)/1),256)/2^1),2)*MOD(INT(MOD(INT((BF208)/1),256)/2^1),2)*2+MOD(INT(MOD(INT((BF213)/1),256)/2^2),2)*MOD(INT(MOD(INT((BF208)/1),256)/2^2),2)*4+MOD(INT(MOD(INT((BF213)/1),256)/2^3),2)*MOD(INT(MOD(INT((BF208)/1),256)/2^3),2)*8+MOD(INT(MOD(INT((BF213)/1),256)/2^4),2)*MOD(INT(MOD(INT((BF208)/1),256)/2^4),2)*16+MOD(INT(MOD(INT((BF213)/1),256)/2^5),2)*MOD(INT(MOD(INT((BF208)/1),256)/2^5),2)*32+MOD(INT(MOD(INT((BF213)/1),256)/2^6),2)*MOD(INT(MOD(INT((BF208)/1),256)/2^6),2)*64+MOD(INT(MOD(INT((BF213)/1),256)/2^7),2)*MOD(INT(MOD(INT((BF208)/1),256)/2^7),2)*128)*1+(MOD(INT(MOD(INT((BF213)/256),256)/2^0),2)*MOD(INT(MOD(INT((BF208)/256),256)/2^0),2)*1+MOD(INT(MOD(INT((BF213)/256),256)/2^1),2)*MOD(INT(MOD(INT((BF208)/256),256)/2^1),2)*2+MOD(INT(MOD(INT((BF213)/256),256)/2^2),2)*MOD(INT(MOD(INT((BF208)/256),256)/2^2),2)*4+MOD(INT(MOD(INT((BF213)/256),256)/2^3),2)*MOD(INT(MOD(INT((BF208)/256),256)/2^3),2)*8+MOD(INT(MOD(INT((BF213)/256),256)/2^4),2)*MOD(INT(MOD(INT((BF208)/256),256)/2^4),2)*16+MOD(INT(MOD(INT((BF213)/256),256)/2^5),2)*MOD(INT(MOD(INT((BF208)/256),256)/2^5),2)*32+MOD(INT(MOD(INT((BF213)/256),256)/2^6),2)*MOD(INT(MOD(INT((BF208)/256),256)/2^6),2)*64+MOD(INT(MOD(INT((BF213)/256),256)/2^7),2)*MOD(INT(MOD(INT((BF208)/256),256)/2^7),2)*128)*256+(MOD(INT(MOD(INT((BF213)/65536),256)/2^0),2)*MOD(INT(MOD(INT((BF208)/65536),256)/2^0),2)*1+MOD(INT(MOD(INT((BF213)/65536),256)/2^1),2)*MOD(INT(MOD(INT((BF208)/65536),256)/2^1),2)*2+MOD(INT(MOD(INT((BF213)/65536),256)/2^2),2)*MOD(INT(MOD(INT((BF208)/65536),256)/2^2),2)*4+MOD(INT(MOD(INT((BF213)/65536),256)/2^3),2)*MOD(INT(MOD(INT((BF208)/65536),256)/2^3),2)*8+MOD(INT(MOD(INT((BF213)/65536),256)/2^4),2)*MOD(INT(MOD(INT((BF208)/65536),256)/2^4),2)*16+MOD(INT(MOD(INT((BF213)/65536),256)/2^5),2)*MOD(INT(MOD(INT((BF208)/65536),256)/2^5),2)*32+MOD(INT(MOD(INT((BF213)/65536),256)/2^6),2)*MOD(INT(MOD(INT((BF208)/65536),256)/2^6),2)*64+MOD(INT(MOD(INT((BF213)/65536),256)/2^7),2)*MOD(INT(MOD(INT((BF208)/65536),256)/2^7),2)*128)*65536+(MOD(INT(MOD(INT((BF213)/16777216),256)/2^0),2)*MOD(INT(MOD(INT((BF208)/16777216),256)/2^0),2)*1+MOD(INT(MOD(INT((BF213)/16777216),256)/2^1),2)*MOD(INT(MOD(INT((BF208)/16777216),256)/2^1),2)*2+MOD(INT(MOD(INT((BF213)/16777216),256)/2^2),2)*MOD(INT(MOD(INT((BF208)/16777216),256)/2^2),2)*4+MOD(INT(MOD(INT((BF213)/16777216),256)/2^3),2)*MOD(INT(MOD(INT((BF208)/16777216),256)/2^3),2)*8+MOD(INT(MOD(INT((BF213)/16777216),256)/2^4),2)*MOD(INT(MOD(INT((BF208)/16777216),256)/2^4),2)*16+MOD(INT(MOD(INT((BF213)/16777216),256)/2^5),2)*MOD(INT(MOD(INT((BF208)/16777216),256)/2^5),2)*32+MOD(INT(MOD(INT((BF213)/16777216),256)/2^6),2)*MOD(INT(MOD(INT((BF208)/16777216),256)/2^6),2)*64+MOD(INT(MOD(INT((BF213)/16777216),256)/2^7),2)*MOD(INT(MOD(INT((BF208)/16777216),256)/2^7),2)*128)*16777216),4294967296)</f>
        <v>0</v>
      </c>
      <c r="BH216" s="41">
        <f t="shared" ref="BH216:BH247" si="36">MOD(BG216+BF202-2*((MOD(INT(MOD(INT((BG216)/1),256)/2^0),2)*MOD(INT(MOD(INT((BF202)/1),256)/2^0),2)*1+MOD(INT(MOD(INT((BG216)/1),256)/2^1),2)*MOD(INT(MOD(INT((BF202)/1),256)/2^1),2)*2+MOD(INT(MOD(INT((BG216)/1),256)/2^2),2)*MOD(INT(MOD(INT((BF202)/1),256)/2^2),2)*4+MOD(INT(MOD(INT((BG216)/1),256)/2^3),2)*MOD(INT(MOD(INT((BF202)/1),256)/2^3),2)*8+MOD(INT(MOD(INT((BG216)/1),256)/2^4),2)*MOD(INT(MOD(INT((BF202)/1),256)/2^4),2)*16+MOD(INT(MOD(INT((BG216)/1),256)/2^5),2)*MOD(INT(MOD(INT((BF202)/1),256)/2^5),2)*32+MOD(INT(MOD(INT((BG216)/1),256)/2^6),2)*MOD(INT(MOD(INT((BF202)/1),256)/2^6),2)*64+MOD(INT(MOD(INT((BG216)/1),256)/2^7),2)*MOD(INT(MOD(INT((BF202)/1),256)/2^7),2)*128)*1+(MOD(INT(MOD(INT((BG216)/256),256)/2^0),2)*MOD(INT(MOD(INT((BF202)/256),256)/2^0),2)*1+MOD(INT(MOD(INT((BG216)/256),256)/2^1),2)*MOD(INT(MOD(INT((BF202)/256),256)/2^1),2)*2+MOD(INT(MOD(INT((BG216)/256),256)/2^2),2)*MOD(INT(MOD(INT((BF202)/256),256)/2^2),2)*4+MOD(INT(MOD(INT((BG216)/256),256)/2^3),2)*MOD(INT(MOD(INT((BF202)/256),256)/2^3),2)*8+MOD(INT(MOD(INT((BG216)/256),256)/2^4),2)*MOD(INT(MOD(INT((BF202)/256),256)/2^4),2)*16+MOD(INT(MOD(INT((BG216)/256),256)/2^5),2)*MOD(INT(MOD(INT((BF202)/256),256)/2^5),2)*32+MOD(INT(MOD(INT((BG216)/256),256)/2^6),2)*MOD(INT(MOD(INT((BF202)/256),256)/2^6),2)*64+MOD(INT(MOD(INT((BG216)/256),256)/2^7),2)*MOD(INT(MOD(INT((BF202)/256),256)/2^7),2)*128)*256+(MOD(INT(MOD(INT((BG216)/65536),256)/2^0),2)*MOD(INT(MOD(INT((BF202)/65536),256)/2^0),2)*1+MOD(INT(MOD(INT((BG216)/65536),256)/2^1),2)*MOD(INT(MOD(INT((BF202)/65536),256)/2^1),2)*2+MOD(INT(MOD(INT((BG216)/65536),256)/2^2),2)*MOD(INT(MOD(INT((BF202)/65536),256)/2^2),2)*4+MOD(INT(MOD(INT((BG216)/65536),256)/2^3),2)*MOD(INT(MOD(INT((BF202)/65536),256)/2^3),2)*8+MOD(INT(MOD(INT((BG216)/65536),256)/2^4),2)*MOD(INT(MOD(INT((BF202)/65536),256)/2^4),2)*16+MOD(INT(MOD(INT((BG216)/65536),256)/2^5),2)*MOD(INT(MOD(INT((BF202)/65536),256)/2^5),2)*32+MOD(INT(MOD(INT((BG216)/65536),256)/2^6),2)*MOD(INT(MOD(INT((BF202)/65536),256)/2^6),2)*64+MOD(INT(MOD(INT((BG216)/65536),256)/2^7),2)*MOD(INT(MOD(INT((BF202)/65536),256)/2^7),2)*128)*65536+(MOD(INT(MOD(INT((BG216)/16777216),256)/2^0),2)*MOD(INT(MOD(INT((BF202)/16777216),256)/2^0),2)*1+MOD(INT(MOD(INT((BG216)/16777216),256)/2^1),2)*MOD(INT(MOD(INT((BF202)/16777216),256)/2^1),2)*2+MOD(INT(MOD(INT((BG216)/16777216),256)/2^2),2)*MOD(INT(MOD(INT((BF202)/16777216),256)/2^2),2)*4+MOD(INT(MOD(INT((BG216)/16777216),256)/2^3),2)*MOD(INT(MOD(INT((BF202)/16777216),256)/2^3),2)*8+MOD(INT(MOD(INT((BG216)/16777216),256)/2^4),2)*MOD(INT(MOD(INT((BF202)/16777216),256)/2^4),2)*16+MOD(INT(MOD(INT((BG216)/16777216),256)/2^5),2)*MOD(INT(MOD(INT((BF202)/16777216),256)/2^5),2)*32+MOD(INT(MOD(INT((BG216)/16777216),256)/2^6),2)*MOD(INT(MOD(INT((BF202)/16777216),256)/2^6),2)*64+MOD(INT(MOD(INT((BG216)/16777216),256)/2^7),2)*MOD(INT(MOD(INT((BF202)/16777216),256)/2^7),2)*128)*16777216),4294967296)</f>
        <v>0</v>
      </c>
    </row>
    <row r="217" spans="58:60" ht="12.75" customHeight="1" x14ac:dyDescent="0.25">
      <c r="BF217" s="40">
        <f t="shared" si="34"/>
        <v>3741319168</v>
      </c>
      <c r="BG217" s="41">
        <f t="shared" si="35"/>
        <v>0</v>
      </c>
      <c r="BH217" s="41">
        <f t="shared" si="36"/>
        <v>0</v>
      </c>
    </row>
    <row r="218" spans="58:60" ht="12.75" customHeight="1" x14ac:dyDescent="0.25">
      <c r="BF218" s="40">
        <f t="shared" si="34"/>
        <v>80</v>
      </c>
      <c r="BG218" s="41">
        <f t="shared" si="35"/>
        <v>40</v>
      </c>
      <c r="BH218" s="41">
        <f t="shared" si="36"/>
        <v>40</v>
      </c>
    </row>
    <row r="219" spans="58:60" ht="12.75" customHeight="1" x14ac:dyDescent="0.25">
      <c r="BF219" s="40">
        <f t="shared" si="34"/>
        <v>2710942129</v>
      </c>
      <c r="BG219" s="41">
        <f t="shared" si="35"/>
        <v>3502954712</v>
      </c>
      <c r="BH219" s="41">
        <f t="shared" si="36"/>
        <v>3502954712</v>
      </c>
    </row>
    <row r="220" spans="58:60" ht="12.75" customHeight="1" x14ac:dyDescent="0.25">
      <c r="BF220" s="40">
        <f t="shared" si="34"/>
        <v>3187671041</v>
      </c>
      <c r="BG220" s="41">
        <f t="shared" si="35"/>
        <v>3741319168</v>
      </c>
      <c r="BH220" s="41">
        <f t="shared" si="36"/>
        <v>3741319168</v>
      </c>
    </row>
    <row r="221" spans="58:60" ht="12.75" customHeight="1" x14ac:dyDescent="0.25">
      <c r="BF221" s="40">
        <f t="shared" si="34"/>
        <v>160</v>
      </c>
      <c r="BG221" s="41">
        <f t="shared" si="35"/>
        <v>80</v>
      </c>
      <c r="BH221" s="41">
        <f t="shared" si="36"/>
        <v>80</v>
      </c>
    </row>
    <row r="222" spans="58:60" ht="12.75" customHeight="1" x14ac:dyDescent="0.25">
      <c r="BF222" s="40">
        <f t="shared" si="34"/>
        <v>1126916963</v>
      </c>
      <c r="BG222" s="41">
        <f t="shared" si="35"/>
        <v>2710942129</v>
      </c>
      <c r="BH222" s="41">
        <f t="shared" si="36"/>
        <v>2710942129</v>
      </c>
    </row>
    <row r="223" spans="58:60" ht="12.75" customHeight="1" x14ac:dyDescent="0.25">
      <c r="BF223" s="40">
        <f t="shared" si="34"/>
        <v>2080374867</v>
      </c>
      <c r="BG223" s="41">
        <f t="shared" si="35"/>
        <v>3187671081</v>
      </c>
      <c r="BH223" s="41">
        <f t="shared" si="36"/>
        <v>3187671081</v>
      </c>
    </row>
    <row r="224" spans="58:60" ht="12.75" customHeight="1" x14ac:dyDescent="0.25">
      <c r="BF224" s="40">
        <f t="shared" si="34"/>
        <v>2710941937</v>
      </c>
      <c r="BG224" s="41">
        <f t="shared" si="35"/>
        <v>3502954616</v>
      </c>
      <c r="BH224" s="41">
        <f t="shared" si="36"/>
        <v>3502954616</v>
      </c>
    </row>
    <row r="225" spans="58:60" ht="12.75" customHeight="1" x14ac:dyDescent="0.25">
      <c r="BF225" s="40">
        <f t="shared" si="34"/>
        <v>945211079</v>
      </c>
      <c r="BG225" s="41">
        <f t="shared" si="35"/>
        <v>2620089187</v>
      </c>
      <c r="BH225" s="41">
        <f t="shared" si="36"/>
        <v>2620089187</v>
      </c>
    </row>
    <row r="226" spans="58:60" ht="12.75" customHeight="1" x14ac:dyDescent="0.25">
      <c r="BF226" s="40">
        <f t="shared" si="34"/>
        <v>4160749574</v>
      </c>
      <c r="BG226" s="41">
        <f t="shared" si="35"/>
        <v>2080374787</v>
      </c>
      <c r="BH226" s="41">
        <f t="shared" si="36"/>
        <v>2080374787</v>
      </c>
    </row>
    <row r="227" spans="58:60" ht="12.75" customHeight="1" x14ac:dyDescent="0.25">
      <c r="BF227" s="40">
        <f t="shared" si="34"/>
        <v>640</v>
      </c>
      <c r="BG227" s="41">
        <f t="shared" si="35"/>
        <v>320</v>
      </c>
      <c r="BH227" s="41">
        <f t="shared" si="36"/>
        <v>320</v>
      </c>
    </row>
    <row r="228" spans="58:60" ht="12.75" customHeight="1" x14ac:dyDescent="0.25">
      <c r="BF228" s="40">
        <f t="shared" si="34"/>
        <v>212700557</v>
      </c>
      <c r="BG228" s="41">
        <f t="shared" si="35"/>
        <v>2253833926</v>
      </c>
      <c r="BH228" s="41">
        <f t="shared" si="36"/>
        <v>2253833926</v>
      </c>
    </row>
    <row r="229" spans="58:60" ht="12.75" customHeight="1" x14ac:dyDescent="0.25">
      <c r="BF229" s="40">
        <f t="shared" si="34"/>
        <v>4026532125</v>
      </c>
      <c r="BG229" s="41">
        <f t="shared" si="35"/>
        <v>4160749734</v>
      </c>
      <c r="BH229" s="41">
        <f t="shared" si="36"/>
        <v>4160749710</v>
      </c>
    </row>
    <row r="230" spans="58:60" ht="12.75" customHeight="1" x14ac:dyDescent="0.25">
      <c r="BF230" s="40">
        <f t="shared" si="34"/>
        <v>667120247</v>
      </c>
      <c r="BG230" s="41">
        <f t="shared" si="35"/>
        <v>1126916579</v>
      </c>
      <c r="BH230" s="41">
        <f t="shared" si="36"/>
        <v>2481043771</v>
      </c>
    </row>
    <row r="231" spans="58:60" ht="12.75" customHeight="1" x14ac:dyDescent="0.25">
      <c r="BF231" s="40">
        <f t="shared" si="34"/>
        <v>1599806445</v>
      </c>
      <c r="BG231" s="41">
        <f t="shared" si="35"/>
        <v>1890422238</v>
      </c>
      <c r="BH231" s="41">
        <f t="shared" si="36"/>
        <v>2947386846</v>
      </c>
    </row>
    <row r="232" spans="58:60" ht="12.75" customHeight="1" x14ac:dyDescent="0.25">
      <c r="BF232" s="40">
        <f t="shared" si="34"/>
        <v>46060233</v>
      </c>
      <c r="BG232" s="41">
        <f t="shared" si="35"/>
        <v>1368764908</v>
      </c>
      <c r="BH232" s="41">
        <f t="shared" si="36"/>
        <v>1368764860</v>
      </c>
    </row>
    <row r="233" spans="58:60" ht="12.75" customHeight="1" x14ac:dyDescent="0.25">
      <c r="BF233" s="40">
        <f t="shared" si="34"/>
        <v>3254782466</v>
      </c>
      <c r="BG233" s="41">
        <f t="shared" si="35"/>
        <v>529904816</v>
      </c>
      <c r="BH233" s="41">
        <f t="shared" si="36"/>
        <v>3187672321</v>
      </c>
    </row>
    <row r="234" spans="58:60" ht="12.75" customHeight="1" x14ac:dyDescent="0.25">
      <c r="BF234" s="40">
        <f t="shared" si="34"/>
        <v>850802548</v>
      </c>
      <c r="BG234" s="41">
        <f t="shared" si="35"/>
        <v>2807765995</v>
      </c>
      <c r="BH234" s="41">
        <f t="shared" si="36"/>
        <v>425401322</v>
      </c>
    </row>
    <row r="235" spans="58:60" ht="12.75" customHeight="1" x14ac:dyDescent="0.25">
      <c r="BF235" s="40">
        <f t="shared" si="34"/>
        <v>1180091057</v>
      </c>
      <c r="BG235" s="41">
        <f t="shared" si="35"/>
        <v>46059593</v>
      </c>
      <c r="BH235" s="41">
        <f t="shared" si="36"/>
        <v>46059753</v>
      </c>
    </row>
    <row r="236" spans="58:60" ht="12.75" customHeight="1" x14ac:dyDescent="0.25">
      <c r="BF236" s="40">
        <f t="shared" si="34"/>
        <v>1728956890</v>
      </c>
      <c r="BG236" s="41">
        <f t="shared" si="35"/>
        <v>3467478927</v>
      </c>
      <c r="BH236" s="41">
        <f t="shared" si="36"/>
        <v>2374427884</v>
      </c>
    </row>
    <row r="237" spans="58:60" ht="12.75" customHeight="1" x14ac:dyDescent="0.25">
      <c r="BF237" s="40">
        <f t="shared" si="34"/>
        <v>2104257845</v>
      </c>
      <c r="BG237" s="41">
        <f t="shared" si="35"/>
        <v>3266721385</v>
      </c>
      <c r="BH237" s="41">
        <f t="shared" si="36"/>
        <v>3199612474</v>
      </c>
    </row>
    <row r="238" spans="58:60" ht="12.75" customHeight="1" x14ac:dyDescent="0.25">
      <c r="BF238" s="40">
        <f t="shared" si="34"/>
        <v>106350249</v>
      </c>
      <c r="BG238" s="41">
        <f t="shared" si="35"/>
        <v>1637200070</v>
      </c>
      <c r="BH238" s="41">
        <f t="shared" si="36"/>
        <v>3221225527</v>
      </c>
    </row>
    <row r="239" spans="58:60" ht="12.75" customHeight="1" x14ac:dyDescent="0.25">
      <c r="BF239" s="40">
        <f t="shared" si="34"/>
        <v>4160760134</v>
      </c>
      <c r="BG239" s="41">
        <f t="shared" si="35"/>
        <v>945214007</v>
      </c>
      <c r="BH239" s="41">
        <f t="shared" si="36"/>
        <v>5360</v>
      </c>
    </row>
    <row r="240" spans="58:60" ht="12.75" customHeight="1" x14ac:dyDescent="0.25">
      <c r="BF240" s="40">
        <f t="shared" si="34"/>
        <v>1284382230</v>
      </c>
      <c r="BG240" s="41">
        <f t="shared" si="35"/>
        <v>2144518140</v>
      </c>
      <c r="BH240" s="41">
        <f t="shared" si="36"/>
        <v>2278735866</v>
      </c>
    </row>
    <row r="241" spans="58:60" ht="12.75" customHeight="1" x14ac:dyDescent="0.25">
      <c r="BF241" s="40">
        <f t="shared" si="34"/>
        <v>4160754137</v>
      </c>
      <c r="BG241" s="41">
        <f t="shared" si="35"/>
        <v>3294022827</v>
      </c>
      <c r="BH241" s="41">
        <f t="shared" si="36"/>
        <v>3294023211</v>
      </c>
    </row>
    <row r="242" spans="58:60" ht="12.75" customHeight="1" x14ac:dyDescent="0.25">
      <c r="BF242" s="40">
        <f t="shared" si="34"/>
        <v>2083989362</v>
      </c>
      <c r="BG242" s="41">
        <f t="shared" si="35"/>
        <v>3400932914</v>
      </c>
      <c r="BH242" s="41">
        <f t="shared" si="36"/>
        <v>3323696063</v>
      </c>
    </row>
    <row r="243" spans="58:60" ht="12.75" customHeight="1" x14ac:dyDescent="0.25">
      <c r="BF243" s="40">
        <f t="shared" si="34"/>
        <v>4122066549</v>
      </c>
      <c r="BG243" s="41">
        <f t="shared" si="35"/>
        <v>181984423</v>
      </c>
      <c r="BH243" s="41">
        <f t="shared" si="36"/>
        <v>4208516538</v>
      </c>
    </row>
    <row r="244" spans="58:60" ht="12.75" customHeight="1" x14ac:dyDescent="0.25">
      <c r="BF244" s="40">
        <f t="shared" si="34"/>
        <v>1757827059</v>
      </c>
      <c r="BG244" s="41">
        <f t="shared" si="35"/>
        <v>2668484611</v>
      </c>
      <c r="BH244" s="41">
        <f t="shared" si="36"/>
        <v>3100551796</v>
      </c>
    </row>
    <row r="245" spans="58:60" ht="12.75" customHeight="1" x14ac:dyDescent="0.25">
      <c r="BF245" s="40">
        <f t="shared" si="34"/>
        <v>1543545199</v>
      </c>
      <c r="BG245" s="41">
        <f t="shared" si="35"/>
        <v>22760007</v>
      </c>
      <c r="BH245" s="41">
        <f t="shared" si="36"/>
        <v>1577079210</v>
      </c>
    </row>
    <row r="246" spans="58:60" ht="12.75" customHeight="1" x14ac:dyDescent="0.25">
      <c r="BF246" s="40">
        <f t="shared" si="34"/>
        <v>2905977029</v>
      </c>
      <c r="BG246" s="41">
        <f t="shared" si="35"/>
        <v>4092033244</v>
      </c>
      <c r="BH246" s="41">
        <f t="shared" si="36"/>
        <v>4049185301</v>
      </c>
    </row>
    <row r="247" spans="58:60" ht="12.75" customHeight="1" x14ac:dyDescent="0.25">
      <c r="BF247" s="40">
        <f t="shared" si="34"/>
        <v>456847028</v>
      </c>
      <c r="BG247" s="41">
        <f t="shared" si="35"/>
        <v>2428921525</v>
      </c>
      <c r="BH247" s="41">
        <f t="shared" si="36"/>
        <v>1388735671</v>
      </c>
    </row>
    <row r="248" spans="58:60" ht="12.75" customHeight="1" x14ac:dyDescent="0.25">
      <c r="BF248" s="40">
        <f t="shared" ref="BF248:BF279" si="37">MOD(MOD(MOD(BH248+BF232-2*((MOD(INT(MOD(INT((BH248)/1),256)/2^0),2)*MOD(INT(MOD(INT((BF232)/1),256)/2^0),2)*1+MOD(INT(MOD(INT((BH248)/1),256)/2^1),2)*MOD(INT(MOD(INT((BF232)/1),256)/2^1),2)*2+MOD(INT(MOD(INT((BH248)/1),256)/2^2),2)*MOD(INT(MOD(INT((BF232)/1),256)/2^2),2)*4+MOD(INT(MOD(INT((BH248)/1),256)/2^3),2)*MOD(INT(MOD(INT((BF232)/1),256)/2^3),2)*8+MOD(INT(MOD(INT((BH248)/1),256)/2^4),2)*MOD(INT(MOD(INT((BF232)/1),256)/2^4),2)*16+MOD(INT(MOD(INT((BH248)/1),256)/2^5),2)*MOD(INT(MOD(INT((BF232)/1),256)/2^5),2)*32+MOD(INT(MOD(INT((BH248)/1),256)/2^6),2)*MOD(INT(MOD(INT((BF232)/1),256)/2^6),2)*64+MOD(INT(MOD(INT((BH248)/1),256)/2^7),2)*MOD(INT(MOD(INT((BF232)/1),256)/2^7),2)*128)*1+(MOD(INT(MOD(INT((BH248)/256),256)/2^0),2)*MOD(INT(MOD(INT((BF232)/256),256)/2^0),2)*1+MOD(INT(MOD(INT((BH248)/256),256)/2^1),2)*MOD(INT(MOD(INT((BF232)/256),256)/2^1),2)*2+MOD(INT(MOD(INT((BH248)/256),256)/2^2),2)*MOD(INT(MOD(INT((BF232)/256),256)/2^2),2)*4+MOD(INT(MOD(INT((BH248)/256),256)/2^3),2)*MOD(INT(MOD(INT((BF232)/256),256)/2^3),2)*8+MOD(INT(MOD(INT((BH248)/256),256)/2^4),2)*MOD(INT(MOD(INT((BF232)/256),256)/2^4),2)*16+MOD(INT(MOD(INT((BH248)/256),256)/2^5),2)*MOD(INT(MOD(INT((BF232)/256),256)/2^5),2)*32+MOD(INT(MOD(INT((BH248)/256),256)/2^6),2)*MOD(INT(MOD(INT((BF232)/256),256)/2^6),2)*64+MOD(INT(MOD(INT((BH248)/256),256)/2^7),2)*MOD(INT(MOD(INT((BF232)/256),256)/2^7),2)*128)*256+(MOD(INT(MOD(INT((BH248)/65536),256)/2^0),2)*MOD(INT(MOD(INT((BF232)/65536),256)/2^0),2)*1+MOD(INT(MOD(INT((BH248)/65536),256)/2^1),2)*MOD(INT(MOD(INT((BF232)/65536),256)/2^1),2)*2+MOD(INT(MOD(INT((BH248)/65536),256)/2^2),2)*MOD(INT(MOD(INT((BF232)/65536),256)/2^2),2)*4+MOD(INT(MOD(INT((BH248)/65536),256)/2^3),2)*MOD(INT(MOD(INT((BF232)/65536),256)/2^3),2)*8+MOD(INT(MOD(INT((BH248)/65536),256)/2^4),2)*MOD(INT(MOD(INT((BF232)/65536),256)/2^4),2)*16+MOD(INT(MOD(INT((BH248)/65536),256)/2^5),2)*MOD(INT(MOD(INT((BF232)/65536),256)/2^5),2)*32+MOD(INT(MOD(INT((BH248)/65536),256)/2^6),2)*MOD(INT(MOD(INT((BF232)/65536),256)/2^6),2)*64+MOD(INT(MOD(INT((BH248)/65536),256)/2^7),2)*MOD(INT(MOD(INT((BF232)/65536),256)/2^7),2)*128)*65536+(MOD(INT(MOD(INT((BH248)/16777216),256)/2^0),2)*MOD(INT(MOD(INT((BF232)/16777216),256)/2^0),2)*1+MOD(INT(MOD(INT((BH248)/16777216),256)/2^1),2)*MOD(INT(MOD(INT((BF232)/16777216),256)/2^1),2)*2+MOD(INT(MOD(INT((BH248)/16777216),256)/2^2),2)*MOD(INT(MOD(INT((BF232)/16777216),256)/2^2),2)*4+MOD(INT(MOD(INT((BH248)/16777216),256)/2^3),2)*MOD(INT(MOD(INT((BF232)/16777216),256)/2^3),2)*8+MOD(INT(MOD(INT((BH248)/16777216),256)/2^4),2)*MOD(INT(MOD(INT((BF232)/16777216),256)/2^4),2)*16+MOD(INT(MOD(INT((BH248)/16777216),256)/2^5),2)*MOD(INT(MOD(INT((BF232)/16777216),256)/2^5),2)*32+MOD(INT(MOD(INT((BH248)/16777216),256)/2^6),2)*MOD(INT(MOD(INT((BF232)/16777216),256)/2^6),2)*64+MOD(INT(MOD(INT((BH248)/16777216),256)/2^7),2)*MOD(INT(MOD(INT((BF232)/16777216),256)/2^7),2)*128)*16777216),4294967296),2^31)*2^1+INT(MOD(BH248+BF232-2*((MOD(INT(MOD(INT((BH248)/1),256)/2^0),2)*MOD(INT(MOD(INT((BF232)/1),256)/2^0),2)*1+MOD(INT(MOD(INT((BH248)/1),256)/2^1),2)*MOD(INT(MOD(INT((BF232)/1),256)/2^1),2)*2+MOD(INT(MOD(INT((BH248)/1),256)/2^2),2)*MOD(INT(MOD(INT((BF232)/1),256)/2^2),2)*4+MOD(INT(MOD(INT((BH248)/1),256)/2^3),2)*MOD(INT(MOD(INT((BF232)/1),256)/2^3),2)*8+MOD(INT(MOD(INT((BH248)/1),256)/2^4),2)*MOD(INT(MOD(INT((BF232)/1),256)/2^4),2)*16+MOD(INT(MOD(INT((BH248)/1),256)/2^5),2)*MOD(INT(MOD(INT((BF232)/1),256)/2^5),2)*32+MOD(INT(MOD(INT((BH248)/1),256)/2^6),2)*MOD(INT(MOD(INT((BF232)/1),256)/2^6),2)*64+MOD(INT(MOD(INT((BH248)/1),256)/2^7),2)*MOD(INT(MOD(INT((BF232)/1),256)/2^7),2)*128)*1+(MOD(INT(MOD(INT((BH248)/256),256)/2^0),2)*MOD(INT(MOD(INT((BF232)/256),256)/2^0),2)*1+MOD(INT(MOD(INT((BH248)/256),256)/2^1),2)*MOD(INT(MOD(INT((BF232)/256),256)/2^1),2)*2+MOD(INT(MOD(INT((BH248)/256),256)/2^2),2)*MOD(INT(MOD(INT((BF232)/256),256)/2^2),2)*4+MOD(INT(MOD(INT((BH248)/256),256)/2^3),2)*MOD(INT(MOD(INT((BF232)/256),256)/2^3),2)*8+MOD(INT(MOD(INT((BH248)/256),256)/2^4),2)*MOD(INT(MOD(INT((BF232)/256),256)/2^4),2)*16+MOD(INT(MOD(INT((BH248)/256),256)/2^5),2)*MOD(INT(MOD(INT((BF232)/256),256)/2^5),2)*32+MOD(INT(MOD(INT((BH248)/256),256)/2^6),2)*MOD(INT(MOD(INT((BF232)/256),256)/2^6),2)*64+MOD(INT(MOD(INT((BH248)/256),256)/2^7),2)*MOD(INT(MOD(INT((BF232)/256),256)/2^7),2)*128)*256+(MOD(INT(MOD(INT((BH248)/65536),256)/2^0),2)*MOD(INT(MOD(INT((BF232)/65536),256)/2^0),2)*1+MOD(INT(MOD(INT((BH248)/65536),256)/2^1),2)*MOD(INT(MOD(INT((BF232)/65536),256)/2^1),2)*2+MOD(INT(MOD(INT((BH248)/65536),256)/2^2),2)*MOD(INT(MOD(INT((BF232)/65536),256)/2^2),2)*4+MOD(INT(MOD(INT((BH248)/65536),256)/2^3),2)*MOD(INT(MOD(INT((BF232)/65536),256)/2^3),2)*8+MOD(INT(MOD(INT((BH248)/65536),256)/2^4),2)*MOD(INT(MOD(INT((BF232)/65536),256)/2^4),2)*16+MOD(INT(MOD(INT((BH248)/65536),256)/2^5),2)*MOD(INT(MOD(INT((BF232)/65536),256)/2^5),2)*32+MOD(INT(MOD(INT((BH248)/65536),256)/2^6),2)*MOD(INT(MOD(INT((BF232)/65536),256)/2^6),2)*64+MOD(INT(MOD(INT((BH248)/65536),256)/2^7),2)*MOD(INT(MOD(INT((BF232)/65536),256)/2^7),2)*128)*65536+(MOD(INT(MOD(INT((BH248)/16777216),256)/2^0),2)*MOD(INT(MOD(INT((BF232)/16777216),256)/2^0),2)*1+MOD(INT(MOD(INT((BH248)/16777216),256)/2^1),2)*MOD(INT(MOD(INT((BF232)/16777216),256)/2^1),2)*2+MOD(INT(MOD(INT((BH248)/16777216),256)/2^2),2)*MOD(INT(MOD(INT((BF232)/16777216),256)/2^2),2)*4+MOD(INT(MOD(INT((BH248)/16777216),256)/2^3),2)*MOD(INT(MOD(INT((BF232)/16777216),256)/2^3),2)*8+MOD(INT(MOD(INT((BH248)/16777216),256)/2^4),2)*MOD(INT(MOD(INT((BF232)/16777216),256)/2^4),2)*16+MOD(INT(MOD(INT((BH248)/16777216),256)/2^5),2)*MOD(INT(MOD(INT((BF232)/16777216),256)/2^5),2)*32+MOD(INT(MOD(INT((BH248)/16777216),256)/2^6),2)*MOD(INT(MOD(INT((BF232)/16777216),256)/2^6),2)*64+MOD(INT(MOD(INT((BH248)/16777216),256)/2^7),2)*MOD(INT(MOD(INT((BF232)/16777216),256)/2^7),2)*128)*16777216),4294967296)/2^31),4294967296)</f>
        <v>1091351944</v>
      </c>
      <c r="BG248" s="41">
        <f t="shared" ref="BG248:BG279" si="38">MOD(BF245+BF240-2*((MOD(INT(MOD(INT((BF245)/1),256)/2^0),2)*MOD(INT(MOD(INT((BF240)/1),256)/2^0),2)*1+MOD(INT(MOD(INT((BF245)/1),256)/2^1),2)*MOD(INT(MOD(INT((BF240)/1),256)/2^1),2)*2+MOD(INT(MOD(INT((BF245)/1),256)/2^2),2)*MOD(INT(MOD(INT((BF240)/1),256)/2^2),2)*4+MOD(INT(MOD(INT((BF245)/1),256)/2^3),2)*MOD(INT(MOD(INT((BF240)/1),256)/2^3),2)*8+MOD(INT(MOD(INT((BF245)/1),256)/2^4),2)*MOD(INT(MOD(INT((BF240)/1),256)/2^4),2)*16+MOD(INT(MOD(INT((BF245)/1),256)/2^5),2)*MOD(INT(MOD(INT((BF240)/1),256)/2^5),2)*32+MOD(INT(MOD(INT((BF245)/1),256)/2^6),2)*MOD(INT(MOD(INT((BF240)/1),256)/2^6),2)*64+MOD(INT(MOD(INT((BF245)/1),256)/2^7),2)*MOD(INT(MOD(INT((BF240)/1),256)/2^7),2)*128)*1+(MOD(INT(MOD(INT((BF245)/256),256)/2^0),2)*MOD(INT(MOD(INT((BF240)/256),256)/2^0),2)*1+MOD(INT(MOD(INT((BF245)/256),256)/2^1),2)*MOD(INT(MOD(INT((BF240)/256),256)/2^1),2)*2+MOD(INT(MOD(INT((BF245)/256),256)/2^2),2)*MOD(INT(MOD(INT((BF240)/256),256)/2^2),2)*4+MOD(INT(MOD(INT((BF245)/256),256)/2^3),2)*MOD(INT(MOD(INT((BF240)/256),256)/2^3),2)*8+MOD(INT(MOD(INT((BF245)/256),256)/2^4),2)*MOD(INT(MOD(INT((BF240)/256),256)/2^4),2)*16+MOD(INT(MOD(INT((BF245)/256),256)/2^5),2)*MOD(INT(MOD(INT((BF240)/256),256)/2^5),2)*32+MOD(INT(MOD(INT((BF245)/256),256)/2^6),2)*MOD(INT(MOD(INT((BF240)/256),256)/2^6),2)*64+MOD(INT(MOD(INT((BF245)/256),256)/2^7),2)*MOD(INT(MOD(INT((BF240)/256),256)/2^7),2)*128)*256+(MOD(INT(MOD(INT((BF245)/65536),256)/2^0),2)*MOD(INT(MOD(INT((BF240)/65536),256)/2^0),2)*1+MOD(INT(MOD(INT((BF245)/65536),256)/2^1),2)*MOD(INT(MOD(INT((BF240)/65536),256)/2^1),2)*2+MOD(INT(MOD(INT((BF245)/65536),256)/2^2),2)*MOD(INT(MOD(INT((BF240)/65536),256)/2^2),2)*4+MOD(INT(MOD(INT((BF245)/65536),256)/2^3),2)*MOD(INT(MOD(INT((BF240)/65536),256)/2^3),2)*8+MOD(INT(MOD(INT((BF245)/65536),256)/2^4),2)*MOD(INT(MOD(INT((BF240)/65536),256)/2^4),2)*16+MOD(INT(MOD(INT((BF245)/65536),256)/2^5),2)*MOD(INT(MOD(INT((BF240)/65536),256)/2^5),2)*32+MOD(INT(MOD(INT((BF245)/65536),256)/2^6),2)*MOD(INT(MOD(INT((BF240)/65536),256)/2^6),2)*64+MOD(INT(MOD(INT((BF245)/65536),256)/2^7),2)*MOD(INT(MOD(INT((BF240)/65536),256)/2^7),2)*128)*65536+(MOD(INT(MOD(INT((BF245)/16777216),256)/2^0),2)*MOD(INT(MOD(INT((BF240)/16777216),256)/2^0),2)*1+MOD(INT(MOD(INT((BF245)/16777216),256)/2^1),2)*MOD(INT(MOD(INT((BF240)/16777216),256)/2^1),2)*2+MOD(INT(MOD(INT((BF245)/16777216),256)/2^2),2)*MOD(INT(MOD(INT((BF240)/16777216),256)/2^2),2)*4+MOD(INT(MOD(INT((BF245)/16777216),256)/2^3),2)*MOD(INT(MOD(INT((BF240)/16777216),256)/2^3),2)*8+MOD(INT(MOD(INT((BF245)/16777216),256)/2^4),2)*MOD(INT(MOD(INT((BF240)/16777216),256)/2^4),2)*16+MOD(INT(MOD(INT((BF245)/16777216),256)/2^5),2)*MOD(INT(MOD(INT((BF240)/16777216),256)/2^5),2)*32+MOD(INT(MOD(INT((BF245)/16777216),256)/2^6),2)*MOD(INT(MOD(INT((BF240)/16777216),256)/2^6),2)*64+MOD(INT(MOD(INT((BF245)/16777216),256)/2^7),2)*MOD(INT(MOD(INT((BF240)/16777216),256)/2^7),2)*128)*16777216),4294967296)</f>
        <v>277790585</v>
      </c>
      <c r="BH248" s="41">
        <f t="shared" ref="BH248:BH279" si="39">MOD(BG248+BF234-2*((MOD(INT(MOD(INT((BG248)/1),256)/2^0),2)*MOD(INT(MOD(INT((BF234)/1),256)/2^0),2)*1+MOD(INT(MOD(INT((BG248)/1),256)/2^1),2)*MOD(INT(MOD(INT((BF234)/1),256)/2^1),2)*2+MOD(INT(MOD(INT((BG248)/1),256)/2^2),2)*MOD(INT(MOD(INT((BF234)/1),256)/2^2),2)*4+MOD(INT(MOD(INT((BG248)/1),256)/2^3),2)*MOD(INT(MOD(INT((BF234)/1),256)/2^3),2)*8+MOD(INT(MOD(INT((BG248)/1),256)/2^4),2)*MOD(INT(MOD(INT((BF234)/1),256)/2^4),2)*16+MOD(INT(MOD(INT((BG248)/1),256)/2^5),2)*MOD(INT(MOD(INT((BF234)/1),256)/2^5),2)*32+MOD(INT(MOD(INT((BG248)/1),256)/2^6),2)*MOD(INT(MOD(INT((BF234)/1),256)/2^6),2)*64+MOD(INT(MOD(INT((BG248)/1),256)/2^7),2)*MOD(INT(MOD(INT((BF234)/1),256)/2^7),2)*128)*1+(MOD(INT(MOD(INT((BG248)/256),256)/2^0),2)*MOD(INT(MOD(INT((BF234)/256),256)/2^0),2)*1+MOD(INT(MOD(INT((BG248)/256),256)/2^1),2)*MOD(INT(MOD(INT((BF234)/256),256)/2^1),2)*2+MOD(INT(MOD(INT((BG248)/256),256)/2^2),2)*MOD(INT(MOD(INT((BF234)/256),256)/2^2),2)*4+MOD(INT(MOD(INT((BG248)/256),256)/2^3),2)*MOD(INT(MOD(INT((BF234)/256),256)/2^3),2)*8+MOD(INT(MOD(INT((BG248)/256),256)/2^4),2)*MOD(INT(MOD(INT((BF234)/256),256)/2^4),2)*16+MOD(INT(MOD(INT((BG248)/256),256)/2^5),2)*MOD(INT(MOD(INT((BF234)/256),256)/2^5),2)*32+MOD(INT(MOD(INT((BG248)/256),256)/2^6),2)*MOD(INT(MOD(INT((BF234)/256),256)/2^6),2)*64+MOD(INT(MOD(INT((BG248)/256),256)/2^7),2)*MOD(INT(MOD(INT((BF234)/256),256)/2^7),2)*128)*256+(MOD(INT(MOD(INT((BG248)/65536),256)/2^0),2)*MOD(INT(MOD(INT((BF234)/65536),256)/2^0),2)*1+MOD(INT(MOD(INT((BG248)/65536),256)/2^1),2)*MOD(INT(MOD(INT((BF234)/65536),256)/2^1),2)*2+MOD(INT(MOD(INT((BG248)/65536),256)/2^2),2)*MOD(INT(MOD(INT((BF234)/65536),256)/2^2),2)*4+MOD(INT(MOD(INT((BG248)/65536),256)/2^3),2)*MOD(INT(MOD(INT((BF234)/65536),256)/2^3),2)*8+MOD(INT(MOD(INT((BG248)/65536),256)/2^4),2)*MOD(INT(MOD(INT((BF234)/65536),256)/2^4),2)*16+MOD(INT(MOD(INT((BG248)/65536),256)/2^5),2)*MOD(INT(MOD(INT((BF234)/65536),256)/2^5),2)*32+MOD(INT(MOD(INT((BG248)/65536),256)/2^6),2)*MOD(INT(MOD(INT((BF234)/65536),256)/2^6),2)*64+MOD(INT(MOD(INT((BG248)/65536),256)/2^7),2)*MOD(INT(MOD(INT((BF234)/65536),256)/2^7),2)*128)*65536+(MOD(INT(MOD(INT((BG248)/16777216),256)/2^0),2)*MOD(INT(MOD(INT((BF234)/16777216),256)/2^0),2)*1+MOD(INT(MOD(INT((BG248)/16777216),256)/2^1),2)*MOD(INT(MOD(INT((BF234)/16777216),256)/2^1),2)*2+MOD(INT(MOD(INT((BG248)/16777216),256)/2^2),2)*MOD(INT(MOD(INT((BF234)/16777216),256)/2^2),2)*4+MOD(INT(MOD(INT((BG248)/16777216),256)/2^3),2)*MOD(INT(MOD(INT((BF234)/16777216),256)/2^3),2)*8+MOD(INT(MOD(INT((BG248)/16777216),256)/2^4),2)*MOD(INT(MOD(INT((BF234)/16777216),256)/2^4),2)*16+MOD(INT(MOD(INT((BG248)/16777216),256)/2^5),2)*MOD(INT(MOD(INT((BF234)/16777216),256)/2^5),2)*32+MOD(INT(MOD(INT((BG248)/16777216),256)/2^6),2)*MOD(INT(MOD(INT((BF234)/16777216),256)/2^6),2)*64+MOD(INT(MOD(INT((BG248)/16777216),256)/2^7),2)*MOD(INT(MOD(INT((BF234)/16777216),256)/2^7),2)*128)*16777216),4294967296)</f>
        <v>574130189</v>
      </c>
    </row>
    <row r="249" spans="58:60" ht="12.75" customHeight="1" x14ac:dyDescent="0.25">
      <c r="BF249" s="40">
        <f t="shared" si="37"/>
        <v>2730939231</v>
      </c>
      <c r="BG249" s="41">
        <f t="shared" si="38"/>
        <v>1429578012</v>
      </c>
      <c r="BH249" s="41">
        <f t="shared" si="39"/>
        <v>325280685</v>
      </c>
    </row>
    <row r="250" spans="58:60" ht="12.75" customHeight="1" x14ac:dyDescent="0.25">
      <c r="BF250" s="40">
        <f t="shared" si="37"/>
        <v>1701605072</v>
      </c>
      <c r="BG250" s="41">
        <f t="shared" si="38"/>
        <v>1728956870</v>
      </c>
      <c r="BH250" s="41">
        <f t="shared" si="39"/>
        <v>28</v>
      </c>
    </row>
    <row r="251" spans="58:60" ht="12.75" customHeight="1" x14ac:dyDescent="0.25">
      <c r="BF251" s="40">
        <f t="shared" si="37"/>
        <v>521095411</v>
      </c>
      <c r="BG251" s="41">
        <f t="shared" si="38"/>
        <v>3032288253</v>
      </c>
      <c r="BH251" s="41">
        <f t="shared" si="39"/>
        <v>3385943752</v>
      </c>
    </row>
    <row r="252" spans="58:60" ht="12.75" customHeight="1" x14ac:dyDescent="0.25">
      <c r="BF252" s="40">
        <f t="shared" si="37"/>
        <v>1454843839</v>
      </c>
      <c r="BG252" s="41">
        <f t="shared" si="38"/>
        <v>3389037740</v>
      </c>
      <c r="BH252" s="41">
        <f t="shared" si="39"/>
        <v>3428211205</v>
      </c>
    </row>
    <row r="253" spans="58:60" ht="12.75" customHeight="1" x14ac:dyDescent="0.25">
      <c r="BF253" s="40">
        <f t="shared" si="37"/>
        <v>2013337497</v>
      </c>
      <c r="BG253" s="41">
        <f t="shared" si="38"/>
        <v>963432383</v>
      </c>
      <c r="BH253" s="41">
        <f t="shared" si="39"/>
        <v>3245139705</v>
      </c>
    </row>
    <row r="254" spans="58:60" ht="12.75" customHeight="1" x14ac:dyDescent="0.25">
      <c r="BF254" s="40">
        <f t="shared" si="37"/>
        <v>4056170771</v>
      </c>
      <c r="BG254" s="41">
        <f t="shared" si="38"/>
        <v>2990209078</v>
      </c>
      <c r="BH254" s="41">
        <f t="shared" si="39"/>
        <v>4273268256</v>
      </c>
    </row>
    <row r="255" spans="58:60" ht="12.75" customHeight="1" x14ac:dyDescent="0.25">
      <c r="BF255" s="40">
        <f t="shared" si="37"/>
        <v>2602296104</v>
      </c>
      <c r="BG255" s="41">
        <f t="shared" si="38"/>
        <v>1301137675</v>
      </c>
      <c r="BH255" s="41">
        <f t="shared" si="39"/>
        <v>3045972178</v>
      </c>
    </row>
    <row r="256" spans="58:60" ht="12.75" customHeight="1" x14ac:dyDescent="0.25">
      <c r="BF256" s="40">
        <f t="shared" si="37"/>
        <v>325662442</v>
      </c>
      <c r="BG256" s="41">
        <f t="shared" si="38"/>
        <v>957194769</v>
      </c>
      <c r="BH256" s="41">
        <f t="shared" si="39"/>
        <v>1161463139</v>
      </c>
    </row>
    <row r="257" spans="58:60" ht="12.75" customHeight="1" x14ac:dyDescent="0.25">
      <c r="BF257" s="40">
        <f t="shared" si="37"/>
        <v>3177610176</v>
      </c>
      <c r="BG257" s="41">
        <f t="shared" si="38"/>
        <v>1392677452</v>
      </c>
      <c r="BH257" s="41">
        <f t="shared" si="39"/>
        <v>2796760121</v>
      </c>
    </row>
    <row r="258" spans="58:60" ht="12.75" customHeight="1" x14ac:dyDescent="0.25">
      <c r="BF258" s="40">
        <f t="shared" si="37"/>
        <v>3574450931</v>
      </c>
      <c r="BG258" s="41">
        <f t="shared" si="38"/>
        <v>4269247992</v>
      </c>
      <c r="BH258" s="41">
        <f t="shared" si="39"/>
        <v>2528231947</v>
      </c>
    </row>
    <row r="259" spans="58:60" ht="12.75" customHeight="1" x14ac:dyDescent="0.25">
      <c r="BF259" s="40">
        <f t="shared" si="37"/>
        <v>1269744135</v>
      </c>
      <c r="BG259" s="41">
        <f t="shared" si="38"/>
        <v>208043545</v>
      </c>
      <c r="BH259" s="41">
        <f t="shared" si="39"/>
        <v>1348919158</v>
      </c>
    </row>
    <row r="260" spans="58:60" ht="12.75" customHeight="1" x14ac:dyDescent="0.25">
      <c r="BF260" s="40">
        <f t="shared" si="37"/>
        <v>1548043922</v>
      </c>
      <c r="BG260" s="41">
        <f t="shared" si="38"/>
        <v>3956366463</v>
      </c>
      <c r="BH260" s="41">
        <f t="shared" si="39"/>
        <v>1189407930</v>
      </c>
    </row>
    <row r="261" spans="58:60" ht="12.75" customHeight="1" x14ac:dyDescent="0.25">
      <c r="BF261" s="40">
        <f t="shared" si="37"/>
        <v>3563922787</v>
      </c>
      <c r="BG261" s="41">
        <f t="shared" si="38"/>
        <v>2903301482</v>
      </c>
      <c r="BH261" s="41">
        <f t="shared" si="39"/>
        <v>3057005534</v>
      </c>
    </row>
    <row r="262" spans="58:60" ht="12.75" customHeight="1" x14ac:dyDescent="0.25">
      <c r="BF262" s="40">
        <f t="shared" si="37"/>
        <v>2896628914</v>
      </c>
      <c r="BG262" s="41">
        <f t="shared" si="38"/>
        <v>3127542548</v>
      </c>
      <c r="BH262" s="41">
        <f t="shared" si="39"/>
        <v>4217779868</v>
      </c>
    </row>
    <row r="263" spans="58:60" ht="12.75" customHeight="1" x14ac:dyDescent="0.25">
      <c r="BF263" s="40">
        <f t="shared" si="37"/>
        <v>4249170082</v>
      </c>
      <c r="BG263" s="41">
        <f t="shared" si="38"/>
        <v>3344868794</v>
      </c>
      <c r="BH263" s="41">
        <f t="shared" si="39"/>
        <v>1704490725</v>
      </c>
    </row>
    <row r="264" spans="58:60" ht="12.75" customHeight="1" x14ac:dyDescent="0.25">
      <c r="BF264" s="40">
        <f t="shared" si="37"/>
        <v>3335098787</v>
      </c>
      <c r="BG264" s="41">
        <f t="shared" si="38"/>
        <v>3338933129</v>
      </c>
      <c r="BH264" s="41">
        <f t="shared" si="39"/>
        <v>2724756825</v>
      </c>
    </row>
    <row r="265" spans="58:60" ht="12.75" customHeight="1" x14ac:dyDescent="0.25">
      <c r="BF265" s="40">
        <f t="shared" si="37"/>
        <v>1477564861</v>
      </c>
      <c r="BG265" s="41">
        <f t="shared" si="38"/>
        <v>297891698</v>
      </c>
      <c r="BH265" s="41">
        <f t="shared" si="39"/>
        <v>248397697</v>
      </c>
    </row>
    <row r="266" spans="58:60" ht="12.75" customHeight="1" x14ac:dyDescent="0.25">
      <c r="BF266" s="40">
        <f t="shared" si="37"/>
        <v>925329020</v>
      </c>
      <c r="BG266" s="41">
        <f t="shared" si="38"/>
        <v>675871313</v>
      </c>
      <c r="BH266" s="41">
        <f t="shared" si="39"/>
        <v>2130697710</v>
      </c>
    </row>
    <row r="267" spans="58:60" ht="12.75" customHeight="1" x14ac:dyDescent="0.25">
      <c r="BF267" s="40">
        <f t="shared" si="37"/>
        <v>3570538909</v>
      </c>
      <c r="BG267" s="41">
        <f t="shared" si="38"/>
        <v>2372359076</v>
      </c>
      <c r="BH267" s="41">
        <f t="shared" si="39"/>
        <v>4117120061</v>
      </c>
    </row>
    <row r="268" spans="58:60" ht="12.75" customHeight="1" x14ac:dyDescent="0.25">
      <c r="BF268" s="40">
        <f t="shared" si="37"/>
        <v>1179644679</v>
      </c>
      <c r="BG268" s="41">
        <f t="shared" si="38"/>
        <v>72654639</v>
      </c>
      <c r="BH268" s="41">
        <f t="shared" si="39"/>
        <v>4119911996</v>
      </c>
    </row>
    <row r="269" spans="58:60" ht="12.75" customHeight="1" x14ac:dyDescent="0.25">
      <c r="BF269" s="40">
        <f t="shared" si="37"/>
        <v>10579804</v>
      </c>
      <c r="BG269" s="41">
        <f t="shared" si="38"/>
        <v>3813294879</v>
      </c>
      <c r="BH269" s="41">
        <f t="shared" si="39"/>
        <v>2018615351</v>
      </c>
    </row>
    <row r="270" spans="58:60" ht="12.75" customHeight="1" x14ac:dyDescent="0.25">
      <c r="BF270" s="40">
        <f t="shared" si="37"/>
        <v>900777389</v>
      </c>
      <c r="BG270" s="41">
        <f t="shared" si="38"/>
        <v>2020939055</v>
      </c>
      <c r="BH270" s="41">
        <f t="shared" si="39"/>
        <v>1797006277</v>
      </c>
    </row>
    <row r="271" spans="58:60" ht="12.75" customHeight="1" x14ac:dyDescent="0.25">
      <c r="BF271" s="40">
        <f t="shared" si="37"/>
        <v>988722843</v>
      </c>
      <c r="BG271" s="41">
        <f t="shared" si="38"/>
        <v>3138044837</v>
      </c>
      <c r="BH271" s="41">
        <f t="shared" si="39"/>
        <v>107788389</v>
      </c>
    </row>
    <row r="272" spans="58:60" ht="12.75" customHeight="1" x14ac:dyDescent="0.25">
      <c r="BF272" s="40">
        <f t="shared" si="37"/>
        <v>1574348</v>
      </c>
      <c r="BG272" s="41">
        <f t="shared" si="38"/>
        <v>3328769791</v>
      </c>
      <c r="BH272" s="41">
        <f t="shared" si="39"/>
        <v>325399564</v>
      </c>
    </row>
    <row r="273" spans="58:60" ht="12.75" customHeight="1" x14ac:dyDescent="0.25">
      <c r="BF273" s="40">
        <f t="shared" si="37"/>
        <v>919817135</v>
      </c>
      <c r="BG273" s="41">
        <f t="shared" si="38"/>
        <v>1839275024</v>
      </c>
      <c r="BH273" s="41">
        <f t="shared" si="39"/>
        <v>638574103</v>
      </c>
    </row>
    <row r="274" spans="58:60" ht="12.75" customHeight="1" x14ac:dyDescent="0.25">
      <c r="BF274" s="40">
        <f t="shared" si="37"/>
        <v>151173389</v>
      </c>
      <c r="BG274" s="41">
        <f t="shared" si="38"/>
        <v>231330023</v>
      </c>
      <c r="BH274" s="41">
        <f t="shared" si="39"/>
        <v>1368168053</v>
      </c>
    </row>
    <row r="275" spans="58:60" ht="12.75" customHeight="1" x14ac:dyDescent="0.25">
      <c r="BF275" s="40">
        <f t="shared" si="37"/>
        <v>2517890666</v>
      </c>
      <c r="BG275" s="41">
        <f t="shared" si="38"/>
        <v>3570015313</v>
      </c>
      <c r="BH275" s="41">
        <f t="shared" si="39"/>
        <v>10959154</v>
      </c>
    </row>
    <row r="276" spans="58:60" ht="12.75" customHeight="1" x14ac:dyDescent="0.25">
      <c r="BF276" s="40">
        <f t="shared" si="37"/>
        <v>16639249</v>
      </c>
      <c r="BG276" s="41">
        <f t="shared" si="38"/>
        <v>1889319080</v>
      </c>
      <c r="BH276" s="41">
        <f t="shared" si="39"/>
        <v>3694900250</v>
      </c>
    </row>
    <row r="277" spans="58:60" ht="12.75" customHeight="1" x14ac:dyDescent="0.25">
      <c r="BF277" s="40">
        <f t="shared" si="37"/>
        <v>1092060960</v>
      </c>
      <c r="BG277" s="41">
        <f t="shared" si="38"/>
        <v>161732177</v>
      </c>
      <c r="BH277" s="41">
        <f t="shared" si="39"/>
        <v>4108773107</v>
      </c>
    </row>
    <row r="278" spans="58:60" ht="12.75" customHeight="1" x14ac:dyDescent="0.25">
      <c r="BF278" s="40">
        <f t="shared" si="37"/>
        <v>2476432813</v>
      </c>
      <c r="BG278" s="41">
        <f t="shared" si="38"/>
        <v>2745381831</v>
      </c>
      <c r="BH278" s="41">
        <f t="shared" si="39"/>
        <v>1701487204</v>
      </c>
    </row>
    <row r="279" spans="58:60" ht="12.75" customHeight="1" x14ac:dyDescent="0.25">
      <c r="BF279" s="40">
        <f t="shared" si="37"/>
        <v>1049589035</v>
      </c>
      <c r="BG279" s="41">
        <f t="shared" si="38"/>
        <v>974345098</v>
      </c>
      <c r="BH279" s="41">
        <f t="shared" si="39"/>
        <v>1644333623</v>
      </c>
    </row>
  </sheetData>
  <mergeCells count="3">
    <mergeCell ref="B1:BF1"/>
    <mergeCell ref="B2:BF2"/>
    <mergeCell ref="B3:BF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🔐 SHA-1</vt:lpstr>
      <vt:lpstr>📖 How SHA-1 Works</vt:lpstr>
      <vt:lpstr>📦 SHA-1 Constants</vt:lpstr>
      <vt:lpstr>⚙️ Computation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Гаврилов Филипп Дамирович</cp:lastModifiedBy>
  <cp:revision>0</cp:revision>
  <dcterms:created xsi:type="dcterms:W3CDTF">2026-05-24T18:49:32Z</dcterms:created>
  <dcterms:modified xsi:type="dcterms:W3CDTF">2026-05-26T03:51:09Z</dcterms:modified>
  <dc:language>en-US</dc:language>
</cp:coreProperties>
</file>